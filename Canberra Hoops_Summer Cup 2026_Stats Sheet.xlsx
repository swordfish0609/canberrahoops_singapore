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Personal Files\Canberra Basketball League\Canberra Hoops Season 3\"/>
    </mc:Choice>
  </mc:AlternateContent>
  <xr:revisionPtr revIDLastSave="0" documentId="13_ncr:1_{21A2F3A6-0566-4008-B39C-F41856B5F855}" xr6:coauthVersionLast="47" xr6:coauthVersionMax="47" xr10:uidLastSave="{00000000-0000-0000-0000-000000000000}"/>
  <bookViews>
    <workbookView xWindow="-120" yWindow="-120" windowWidth="29040" windowHeight="15720" xr2:uid="{56C05E37-0295-4D5C-BCDF-23ED5F593C83}"/>
  </bookViews>
  <sheets>
    <sheet name="Scoring" sheetId="1" r:id="rId1"/>
  </sheets>
  <definedNames>
    <definedName name="_xlnm.Print_Area" localSheetId="0">Scoring!$B$1:$M$24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49" i="1" l="1"/>
  <c r="BG49" i="1"/>
  <c r="BF49" i="1"/>
  <c r="BE49" i="1"/>
  <c r="BD49" i="1"/>
  <c r="BB49" i="1"/>
  <c r="BA49" i="1"/>
  <c r="AZ49" i="1"/>
  <c r="AY49" i="1"/>
  <c r="AX49" i="1"/>
  <c r="AV49" i="1"/>
  <c r="AU49" i="1"/>
  <c r="AT49" i="1"/>
  <c r="AS49" i="1"/>
  <c r="AR49" i="1"/>
  <c r="AP49" i="1"/>
  <c r="AO49" i="1"/>
  <c r="AN49" i="1"/>
  <c r="AM49" i="1"/>
  <c r="AL49" i="1"/>
  <c r="AJ49" i="1"/>
  <c r="AI49" i="1"/>
  <c r="AH49" i="1"/>
  <c r="AG49" i="1"/>
  <c r="AF49" i="1"/>
  <c r="AD49" i="1"/>
  <c r="AC49" i="1"/>
  <c r="AB49" i="1"/>
  <c r="AA49" i="1"/>
  <c r="Z49" i="1"/>
  <c r="W49" i="1"/>
  <c r="T49" i="1"/>
  <c r="R49" i="1"/>
  <c r="Q49" i="1"/>
  <c r="P49" i="1"/>
  <c r="O49" i="1"/>
  <c r="N49" i="1"/>
  <c r="L49" i="1"/>
  <c r="K49" i="1"/>
  <c r="J49" i="1"/>
  <c r="I49" i="1"/>
  <c r="H49" i="1"/>
  <c r="BS48" i="1"/>
  <c r="BR48" i="1"/>
  <c r="BQ48" i="1"/>
  <c r="BP48" i="1"/>
  <c r="BN48" i="1"/>
  <c r="BT48" i="1" s="1"/>
  <c r="BM48" i="1"/>
  <c r="BL48" i="1"/>
  <c r="BK48" i="1"/>
  <c r="BJ48" i="1"/>
  <c r="BS47" i="1"/>
  <c r="BP47" i="1"/>
  <c r="BN47" i="1"/>
  <c r="BT47" i="1" s="1"/>
  <c r="BM47" i="1"/>
  <c r="BL47" i="1"/>
  <c r="BR47" i="1" s="1"/>
  <c r="BK47" i="1"/>
  <c r="BQ47" i="1" s="1"/>
  <c r="BJ47" i="1"/>
  <c r="BT46" i="1"/>
  <c r="BN46" i="1"/>
  <c r="BM46" i="1"/>
  <c r="BS46" i="1" s="1"/>
  <c r="BL46" i="1"/>
  <c r="BR46" i="1" s="1"/>
  <c r="BK46" i="1"/>
  <c r="BQ46" i="1" s="1"/>
  <c r="BJ46" i="1"/>
  <c r="BP46" i="1" s="1"/>
  <c r="BS45" i="1"/>
  <c r="BR45" i="1"/>
  <c r="BQ45" i="1"/>
  <c r="BP45" i="1"/>
  <c r="BN45" i="1"/>
  <c r="BT45" i="1" s="1"/>
  <c r="BM45" i="1"/>
  <c r="BL45" i="1"/>
  <c r="BK45" i="1"/>
  <c r="BJ45" i="1"/>
  <c r="BM44" i="1"/>
  <c r="BS44" i="1" s="1"/>
  <c r="BL44" i="1"/>
  <c r="BR44" i="1" s="1"/>
  <c r="BK44" i="1"/>
  <c r="BQ44" i="1" s="1"/>
  <c r="BJ44" i="1"/>
  <c r="BP44" i="1" s="1"/>
  <c r="X44" i="1"/>
  <c r="BN44" i="1" s="1"/>
  <c r="BT44" i="1" s="1"/>
  <c r="W44" i="1"/>
  <c r="V44" i="1"/>
  <c r="U44" i="1"/>
  <c r="BN43" i="1"/>
  <c r="BT43" i="1" s="1"/>
  <c r="BK43" i="1"/>
  <c r="BQ43" i="1" s="1"/>
  <c r="BJ43" i="1"/>
  <c r="BP43" i="1" s="1"/>
  <c r="X43" i="1"/>
  <c r="W43" i="1"/>
  <c r="BM43" i="1" s="1"/>
  <c r="BS43" i="1" s="1"/>
  <c r="V43" i="1"/>
  <c r="BL43" i="1" s="1"/>
  <c r="BR43" i="1" s="1"/>
  <c r="U43" i="1"/>
  <c r="BL42" i="1"/>
  <c r="BR42" i="1" s="1"/>
  <c r="BJ42" i="1"/>
  <c r="BP42" i="1" s="1"/>
  <c r="X42" i="1"/>
  <c r="BN42" i="1" s="1"/>
  <c r="BT42" i="1" s="1"/>
  <c r="W42" i="1"/>
  <c r="BM42" i="1" s="1"/>
  <c r="BS42" i="1" s="1"/>
  <c r="V42" i="1"/>
  <c r="U42" i="1"/>
  <c r="BK42" i="1" s="1"/>
  <c r="BQ42" i="1" s="1"/>
  <c r="BJ41" i="1"/>
  <c r="BP41" i="1" s="1"/>
  <c r="X41" i="1"/>
  <c r="BN41" i="1" s="1"/>
  <c r="BT41" i="1" s="1"/>
  <c r="W41" i="1"/>
  <c r="BM41" i="1" s="1"/>
  <c r="BS41" i="1" s="1"/>
  <c r="V41" i="1"/>
  <c r="V49" i="1" s="1"/>
  <c r="U41" i="1"/>
  <c r="BH37" i="1"/>
  <c r="BG37" i="1"/>
  <c r="BF37" i="1"/>
  <c r="BE37" i="1"/>
  <c r="BD37" i="1"/>
  <c r="BB37" i="1"/>
  <c r="BA37" i="1"/>
  <c r="AZ37" i="1"/>
  <c r="AY37" i="1"/>
  <c r="AX37" i="1"/>
  <c r="AV37" i="1"/>
  <c r="AU37" i="1"/>
  <c r="AT37" i="1"/>
  <c r="AS37" i="1"/>
  <c r="AR37" i="1"/>
  <c r="AP37" i="1"/>
  <c r="AO37" i="1"/>
  <c r="AN37" i="1"/>
  <c r="AM37" i="1"/>
  <c r="AL37" i="1"/>
  <c r="AJ37" i="1"/>
  <c r="AI37" i="1"/>
  <c r="AH37" i="1"/>
  <c r="AG37" i="1"/>
  <c r="AF37" i="1"/>
  <c r="AD37" i="1"/>
  <c r="AC37" i="1"/>
  <c r="AB37" i="1"/>
  <c r="AA37" i="1"/>
  <c r="Z37" i="1"/>
  <c r="X37" i="1"/>
  <c r="W37" i="1"/>
  <c r="V37" i="1"/>
  <c r="U37" i="1"/>
  <c r="T37" i="1"/>
  <c r="R37" i="1"/>
  <c r="Q37" i="1"/>
  <c r="P37" i="1"/>
  <c r="O37" i="1"/>
  <c r="N37" i="1"/>
  <c r="L37" i="1"/>
  <c r="K37" i="1"/>
  <c r="J37" i="1"/>
  <c r="I37" i="1"/>
  <c r="H37" i="1"/>
  <c r="BS36" i="1"/>
  <c r="BR36" i="1"/>
  <c r="BQ36" i="1"/>
  <c r="BN36" i="1"/>
  <c r="BT36" i="1" s="1"/>
  <c r="BM36" i="1"/>
  <c r="BL36" i="1"/>
  <c r="BK36" i="1"/>
  <c r="BJ36" i="1"/>
  <c r="BP36" i="1" s="1"/>
  <c r="BP35" i="1"/>
  <c r="BN35" i="1"/>
  <c r="BT35" i="1" s="1"/>
  <c r="BM35" i="1"/>
  <c r="BS35" i="1" s="1"/>
  <c r="BL35" i="1"/>
  <c r="BR35" i="1" s="1"/>
  <c r="BK35" i="1"/>
  <c r="BQ35" i="1" s="1"/>
  <c r="BJ35" i="1"/>
  <c r="BS34" i="1"/>
  <c r="BR34" i="1"/>
  <c r="BQ34" i="1"/>
  <c r="BN34" i="1"/>
  <c r="BT34" i="1" s="1"/>
  <c r="BM34" i="1"/>
  <c r="BL34" i="1"/>
  <c r="BK34" i="1"/>
  <c r="BJ34" i="1"/>
  <c r="BP34" i="1" s="1"/>
  <c r="BQ33" i="1"/>
  <c r="BP33" i="1"/>
  <c r="BN33" i="1"/>
  <c r="BT33" i="1" s="1"/>
  <c r="BM33" i="1"/>
  <c r="BS33" i="1" s="1"/>
  <c r="BL33" i="1"/>
  <c r="BR33" i="1" s="1"/>
  <c r="BK33" i="1"/>
  <c r="BJ33" i="1"/>
  <c r="BN32" i="1"/>
  <c r="BT32" i="1" s="1"/>
  <c r="BM32" i="1"/>
  <c r="BS32" i="1" s="1"/>
  <c r="BL32" i="1"/>
  <c r="BR32" i="1" s="1"/>
  <c r="BK32" i="1"/>
  <c r="BQ32" i="1" s="1"/>
  <c r="BJ32" i="1"/>
  <c r="BP32" i="1" s="1"/>
  <c r="BQ31" i="1"/>
  <c r="BP31" i="1"/>
  <c r="BN31" i="1"/>
  <c r="BT31" i="1" s="1"/>
  <c r="BM31" i="1"/>
  <c r="BS31" i="1" s="1"/>
  <c r="BL31" i="1"/>
  <c r="BR31" i="1" s="1"/>
  <c r="BK31" i="1"/>
  <c r="BJ31" i="1"/>
  <c r="BN30" i="1"/>
  <c r="BT30" i="1" s="1"/>
  <c r="BM30" i="1"/>
  <c r="BS30" i="1" s="1"/>
  <c r="BL30" i="1"/>
  <c r="BR30" i="1" s="1"/>
  <c r="BK30" i="1"/>
  <c r="BQ30" i="1" s="1"/>
  <c r="BJ30" i="1"/>
  <c r="BP30" i="1" s="1"/>
  <c r="BS29" i="1"/>
  <c r="BN29" i="1"/>
  <c r="BT29" i="1" s="1"/>
  <c r="BM29" i="1"/>
  <c r="BL29" i="1"/>
  <c r="BR29" i="1" s="1"/>
  <c r="BK29" i="1"/>
  <c r="BQ29" i="1" s="1"/>
  <c r="BJ29" i="1"/>
  <c r="BP29" i="1" s="1"/>
  <c r="BS28" i="1"/>
  <c r="BR28" i="1"/>
  <c r="BN28" i="1"/>
  <c r="BT28" i="1" s="1"/>
  <c r="BM28" i="1"/>
  <c r="BL28" i="1"/>
  <c r="BK28" i="1"/>
  <c r="BQ28" i="1" s="1"/>
  <c r="BJ28" i="1"/>
  <c r="BP28" i="1" s="1"/>
  <c r="BH24" i="1"/>
  <c r="BG24" i="1"/>
  <c r="BF24" i="1"/>
  <c r="BE24" i="1"/>
  <c r="BD24" i="1"/>
  <c r="BB24" i="1"/>
  <c r="BA24" i="1"/>
  <c r="AZ24" i="1"/>
  <c r="AY24" i="1"/>
  <c r="AX24" i="1"/>
  <c r="AV24" i="1"/>
  <c r="AU24" i="1"/>
  <c r="AT24" i="1"/>
  <c r="AS24" i="1"/>
  <c r="AR24" i="1"/>
  <c r="AP24" i="1"/>
  <c r="AO24" i="1"/>
  <c r="AN24" i="1"/>
  <c r="AM24" i="1"/>
  <c r="AL24" i="1"/>
  <c r="AJ24" i="1"/>
  <c r="AI24" i="1"/>
  <c r="AH24" i="1"/>
  <c r="AG24" i="1"/>
  <c r="AF24" i="1"/>
  <c r="AD24" i="1"/>
  <c r="AC24" i="1"/>
  <c r="AB24" i="1"/>
  <c r="AA24" i="1"/>
  <c r="Z24" i="1"/>
  <c r="X24" i="1"/>
  <c r="W24" i="1"/>
  <c r="V24" i="1"/>
  <c r="U24" i="1"/>
  <c r="T24" i="1"/>
  <c r="R24" i="1"/>
  <c r="Q24" i="1"/>
  <c r="P24" i="1"/>
  <c r="O24" i="1"/>
  <c r="N24" i="1"/>
  <c r="L24" i="1"/>
  <c r="K24" i="1"/>
  <c r="J24" i="1"/>
  <c r="I24" i="1"/>
  <c r="H24" i="1"/>
  <c r="BN23" i="1"/>
  <c r="BT23" i="1" s="1"/>
  <c r="BM23" i="1"/>
  <c r="BS23" i="1" s="1"/>
  <c r="BL23" i="1"/>
  <c r="BR23" i="1" s="1"/>
  <c r="BK23" i="1"/>
  <c r="BQ23" i="1" s="1"/>
  <c r="BJ23" i="1"/>
  <c r="BP23" i="1" s="1"/>
  <c r="BR22" i="1"/>
  <c r="BQ22" i="1"/>
  <c r="BP22" i="1"/>
  <c r="BN22" i="1"/>
  <c r="BT22" i="1" s="1"/>
  <c r="BM22" i="1"/>
  <c r="BS22" i="1" s="1"/>
  <c r="BL22" i="1"/>
  <c r="BK22" i="1"/>
  <c r="BJ22" i="1"/>
  <c r="BN21" i="1"/>
  <c r="BT21" i="1" s="1"/>
  <c r="BM21" i="1"/>
  <c r="BS21" i="1" s="1"/>
  <c r="BL21" i="1"/>
  <c r="BR21" i="1" s="1"/>
  <c r="BK21" i="1"/>
  <c r="BQ21" i="1" s="1"/>
  <c r="BJ21" i="1"/>
  <c r="BP21" i="1" s="1"/>
  <c r="BN20" i="1"/>
  <c r="BT20" i="1" s="1"/>
  <c r="BM20" i="1"/>
  <c r="BS20" i="1" s="1"/>
  <c r="BL20" i="1"/>
  <c r="BR20" i="1" s="1"/>
  <c r="BK20" i="1"/>
  <c r="BQ20" i="1" s="1"/>
  <c r="BJ20" i="1"/>
  <c r="BP20" i="1" s="1"/>
  <c r="BN19" i="1"/>
  <c r="BT19" i="1" s="1"/>
  <c r="BM19" i="1"/>
  <c r="BS19" i="1" s="1"/>
  <c r="BL19" i="1"/>
  <c r="BR19" i="1" s="1"/>
  <c r="BK19" i="1"/>
  <c r="BQ19" i="1" s="1"/>
  <c r="BJ19" i="1"/>
  <c r="BP19" i="1" s="1"/>
  <c r="BS18" i="1"/>
  <c r="BN18" i="1"/>
  <c r="BT18" i="1" s="1"/>
  <c r="BM18" i="1"/>
  <c r="BL18" i="1"/>
  <c r="BR18" i="1" s="1"/>
  <c r="BK18" i="1"/>
  <c r="BQ18" i="1" s="1"/>
  <c r="BJ18" i="1"/>
  <c r="BP18" i="1" s="1"/>
  <c r="BT17" i="1"/>
  <c r="BS17" i="1"/>
  <c r="BN17" i="1"/>
  <c r="BM17" i="1"/>
  <c r="BL17" i="1"/>
  <c r="BR17" i="1" s="1"/>
  <c r="BK17" i="1"/>
  <c r="BQ17" i="1" s="1"/>
  <c r="BJ17" i="1"/>
  <c r="BP17" i="1" s="1"/>
  <c r="BN16" i="1"/>
  <c r="BT16" i="1" s="1"/>
  <c r="BM16" i="1"/>
  <c r="BS16" i="1" s="1"/>
  <c r="BL16" i="1"/>
  <c r="BR16" i="1" s="1"/>
  <c r="BK16" i="1"/>
  <c r="BQ16" i="1" s="1"/>
  <c r="BJ16" i="1"/>
  <c r="BP16" i="1" s="1"/>
  <c r="BH12" i="1"/>
  <c r="BG12" i="1"/>
  <c r="BF12" i="1"/>
  <c r="BE12" i="1"/>
  <c r="BD12" i="1"/>
  <c r="BB12" i="1"/>
  <c r="BA12" i="1"/>
  <c r="AZ12" i="1"/>
  <c r="AY12" i="1"/>
  <c r="AX12" i="1"/>
  <c r="AV12" i="1"/>
  <c r="AU12" i="1"/>
  <c r="AT12" i="1"/>
  <c r="AS12" i="1"/>
  <c r="AR12" i="1"/>
  <c r="AP12" i="1"/>
  <c r="AO12" i="1"/>
  <c r="AN12" i="1"/>
  <c r="AM12" i="1"/>
  <c r="AL12" i="1"/>
  <c r="AJ12" i="1"/>
  <c r="AI12" i="1"/>
  <c r="AH12" i="1"/>
  <c r="AG12" i="1"/>
  <c r="AF12" i="1"/>
  <c r="AD12" i="1"/>
  <c r="AC12" i="1"/>
  <c r="AB12" i="1"/>
  <c r="AA12" i="1"/>
  <c r="Z12" i="1"/>
  <c r="X12" i="1"/>
  <c r="W12" i="1"/>
  <c r="V12" i="1"/>
  <c r="U12" i="1"/>
  <c r="T12" i="1"/>
  <c r="R12" i="1"/>
  <c r="Q12" i="1"/>
  <c r="P12" i="1"/>
  <c r="O12" i="1"/>
  <c r="N12" i="1"/>
  <c r="L12" i="1"/>
  <c r="K12" i="1"/>
  <c r="J12" i="1"/>
  <c r="I12" i="1"/>
  <c r="H12" i="1"/>
  <c r="BQ11" i="1"/>
  <c r="BN11" i="1"/>
  <c r="BT11" i="1" s="1"/>
  <c r="BM11" i="1"/>
  <c r="BS11" i="1" s="1"/>
  <c r="BL11" i="1"/>
  <c r="BR11" i="1" s="1"/>
  <c r="BK11" i="1"/>
  <c r="BJ11" i="1"/>
  <c r="BP11" i="1" s="1"/>
  <c r="BP10" i="1"/>
  <c r="BN10" i="1"/>
  <c r="BT10" i="1" s="1"/>
  <c r="BM10" i="1"/>
  <c r="BS10" i="1" s="1"/>
  <c r="BL10" i="1"/>
  <c r="BR10" i="1" s="1"/>
  <c r="BK10" i="1"/>
  <c r="BQ10" i="1" s="1"/>
  <c r="BJ10" i="1"/>
  <c r="BN9" i="1"/>
  <c r="BT9" i="1" s="1"/>
  <c r="BM9" i="1"/>
  <c r="BS9" i="1" s="1"/>
  <c r="BL9" i="1"/>
  <c r="BR9" i="1" s="1"/>
  <c r="BK9" i="1"/>
  <c r="BQ9" i="1" s="1"/>
  <c r="BJ9" i="1"/>
  <c r="BP9" i="1" s="1"/>
  <c r="BT8" i="1"/>
  <c r="BS8" i="1"/>
  <c r="BN8" i="1"/>
  <c r="BM8" i="1"/>
  <c r="BL8" i="1"/>
  <c r="BR8" i="1" s="1"/>
  <c r="BK8" i="1"/>
  <c r="BQ8" i="1" s="1"/>
  <c r="BJ8" i="1"/>
  <c r="BP8" i="1" s="1"/>
  <c r="BN7" i="1"/>
  <c r="BT7" i="1" s="1"/>
  <c r="BM7" i="1"/>
  <c r="BS7" i="1" s="1"/>
  <c r="BL7" i="1"/>
  <c r="BR7" i="1" s="1"/>
  <c r="BK7" i="1"/>
  <c r="BQ7" i="1" s="1"/>
  <c r="BJ7" i="1"/>
  <c r="BP7" i="1" s="1"/>
  <c r="BP6" i="1"/>
  <c r="BN6" i="1"/>
  <c r="BT6" i="1" s="1"/>
  <c r="BM6" i="1"/>
  <c r="BS6" i="1" s="1"/>
  <c r="BL6" i="1"/>
  <c r="BR6" i="1" s="1"/>
  <c r="BK6" i="1"/>
  <c r="BQ6" i="1" s="1"/>
  <c r="BJ6" i="1"/>
  <c r="BS5" i="1"/>
  <c r="BR5" i="1"/>
  <c r="BQ5" i="1"/>
  <c r="BP5" i="1"/>
  <c r="BN5" i="1"/>
  <c r="BT5" i="1" s="1"/>
  <c r="BM5" i="1"/>
  <c r="BL5" i="1"/>
  <c r="BK5" i="1"/>
  <c r="BJ5" i="1"/>
  <c r="BN4" i="1"/>
  <c r="BT4" i="1" s="1"/>
  <c r="BM4" i="1"/>
  <c r="BS4" i="1" s="1"/>
  <c r="BL4" i="1"/>
  <c r="BR4" i="1" s="1"/>
  <c r="BK4" i="1"/>
  <c r="BQ4" i="1" s="1"/>
  <c r="BJ4" i="1"/>
  <c r="BP4" i="1" s="1"/>
  <c r="U49" i="1" l="1"/>
  <c r="X49" i="1"/>
  <c r="BK41" i="1"/>
  <c r="BQ41" i="1" s="1"/>
  <c r="BL41" i="1"/>
  <c r="BR41" i="1" s="1"/>
</calcChain>
</file>

<file path=xl/sharedStrings.xml><?xml version="1.0" encoding="utf-8"?>
<sst xmlns="http://schemas.openxmlformats.org/spreadsheetml/2006/main" count="418" uniqueCount="55">
  <si>
    <t xml:space="preserve">Game# </t>
  </si>
  <si>
    <t>vs</t>
  </si>
  <si>
    <t>Phantoms</t>
  </si>
  <si>
    <t>The Guardians</t>
  </si>
  <si>
    <t>Panthers</t>
  </si>
  <si>
    <t>TOTAL</t>
  </si>
  <si>
    <t>AVERAGE</t>
  </si>
  <si>
    <t>No.</t>
  </si>
  <si>
    <t>Name</t>
  </si>
  <si>
    <t>POS</t>
  </si>
  <si>
    <t>GP</t>
  </si>
  <si>
    <t>PTS</t>
  </si>
  <si>
    <t>REB</t>
  </si>
  <si>
    <t>STL</t>
  </si>
  <si>
    <t>ASS</t>
  </si>
  <si>
    <t>BLKS</t>
  </si>
  <si>
    <t>Rowell</t>
  </si>
  <si>
    <t>F</t>
  </si>
  <si>
    <t>Ninoy</t>
  </si>
  <si>
    <t>C</t>
  </si>
  <si>
    <t>Noel</t>
  </si>
  <si>
    <t>SG</t>
  </si>
  <si>
    <t>Arvin</t>
  </si>
  <si>
    <t>PF</t>
  </si>
  <si>
    <t>Christian</t>
  </si>
  <si>
    <t>PG</t>
  </si>
  <si>
    <t>Jaime</t>
  </si>
  <si>
    <t>Jojo</t>
  </si>
  <si>
    <t>Titans</t>
  </si>
  <si>
    <t>Richard</t>
  </si>
  <si>
    <t>Leo</t>
  </si>
  <si>
    <t>Sherwin</t>
  </si>
  <si>
    <t>Fred</t>
  </si>
  <si>
    <t>Lawrence</t>
  </si>
  <si>
    <t>Carlo</t>
  </si>
  <si>
    <t>Bart</t>
  </si>
  <si>
    <t>Alvin</t>
  </si>
  <si>
    <t>Anton</t>
  </si>
  <si>
    <t>Alexis</t>
  </si>
  <si>
    <t>Fletcher</t>
  </si>
  <si>
    <t>Raffy</t>
  </si>
  <si>
    <t>Michael</t>
  </si>
  <si>
    <t>Bryan</t>
  </si>
  <si>
    <t>Eric</t>
  </si>
  <si>
    <t>EdG</t>
  </si>
  <si>
    <t>Medel</t>
  </si>
  <si>
    <t>Edmar</t>
  </si>
  <si>
    <t>Nelson</t>
  </si>
  <si>
    <t>Ryan</t>
  </si>
  <si>
    <t>Clarence</t>
  </si>
  <si>
    <t>Louis</t>
  </si>
  <si>
    <t>Ferdinand</t>
  </si>
  <si>
    <t>JuliusA</t>
  </si>
  <si>
    <t>JuliusR</t>
  </si>
  <si>
    <t>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</si>
</sst>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3" fillId="0" borderId="1" xfId="1" applyFont="1" applyBorder="1"/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8B0A8AD2-9287-4ED7-B812-E12E074D54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4</xdr:row>
      <xdr:rowOff>122327</xdr:rowOff>
    </xdr:from>
    <xdr:to>
      <xdr:col>0</xdr:col>
      <xdr:colOff>1697350</xdr:colOff>
      <xdr:row>9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AEF0DF-65B6-458B-BC3C-87F8B5DB6B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93" t="7378" r="25098" b="6324"/>
        <a:stretch>
          <a:fillRect/>
        </a:stretch>
      </xdr:blipFill>
      <xdr:spPr>
        <a:xfrm>
          <a:off x="152399" y="1284377"/>
          <a:ext cx="1544951" cy="1548358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15</xdr:row>
      <xdr:rowOff>297180</xdr:rowOff>
    </xdr:from>
    <xdr:to>
      <xdr:col>0</xdr:col>
      <xdr:colOff>1630680</xdr:colOff>
      <xdr:row>20</xdr:row>
      <xdr:rowOff>248158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91481C-A9F9-411B-82E3-267308F63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8" t="5055" r="26078" b="6578"/>
        <a:stretch>
          <a:fillRect/>
        </a:stretch>
      </xdr:blipFill>
      <xdr:spPr>
        <a:xfrm>
          <a:off x="129540" y="4592955"/>
          <a:ext cx="1501140" cy="152260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28</xdr:row>
      <xdr:rowOff>112076</xdr:rowOff>
    </xdr:from>
    <xdr:to>
      <xdr:col>0</xdr:col>
      <xdr:colOff>1744980</xdr:colOff>
      <xdr:row>32</xdr:row>
      <xdr:rowOff>271373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7A8012-8C1B-41EF-88ED-E4F6B813D2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922" t="14199" r="28725" b="12647"/>
        <a:stretch>
          <a:fillRect/>
        </a:stretch>
      </xdr:blipFill>
      <xdr:spPr>
        <a:xfrm>
          <a:off x="152400" y="8208326"/>
          <a:ext cx="1592580" cy="1492797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41</xdr:row>
      <xdr:rowOff>50494</xdr:rowOff>
    </xdr:from>
    <xdr:to>
      <xdr:col>0</xdr:col>
      <xdr:colOff>1684020</xdr:colOff>
      <xdr:row>45</xdr:row>
      <xdr:rowOff>106679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3DB0AA-966F-4694-BF51-9A05D0CAD2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86" b="4167"/>
        <a:stretch>
          <a:fillRect/>
        </a:stretch>
      </xdr:blipFill>
      <xdr:spPr>
        <a:xfrm>
          <a:off x="167640" y="12099619"/>
          <a:ext cx="1516380" cy="1389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F57E-3E1A-4E8B-9D1F-182284BDE499}">
  <sheetPr>
    <pageSetUpPr fitToPage="1"/>
  </sheetPr>
  <dimension ref="A1:BT49"/>
  <sheetViews>
    <sheetView tabSelected="1" topLeftCell="A27" zoomScaleNormal="100" workbookViewId="0">
      <selection activeCell="J45" sqref="J45"/>
    </sheetView>
  </sheetViews>
  <sheetFormatPr defaultColWidth="8.85546875" defaultRowHeight="15" x14ac:dyDescent="0.25"/>
  <cols>
    <col min="1" max="1" width="26.5703125" style="1" customWidth="1"/>
    <col min="2" max="6" width="8.85546875" style="1"/>
    <col min="7" max="7" width="2.7109375" style="1" customWidth="1"/>
    <col min="8" max="9" width="8.85546875" style="1" customWidth="1"/>
    <col min="10" max="10" width="8.85546875" style="2" customWidth="1"/>
    <col min="11" max="12" width="8.85546875" style="1" customWidth="1"/>
    <col min="13" max="13" width="4.7109375" style="1" customWidth="1"/>
    <col min="14" max="18" width="8.85546875" style="1" customWidth="1"/>
    <col min="19" max="19" width="4" style="1" customWidth="1"/>
    <col min="20" max="24" width="8.85546875" style="1" customWidth="1"/>
    <col min="25" max="25" width="4.5703125" style="1" customWidth="1"/>
    <col min="26" max="30" width="8.85546875" style="1" customWidth="1"/>
    <col min="31" max="31" width="5.5703125" style="1" customWidth="1"/>
    <col min="32" max="36" width="8.85546875" style="1" customWidth="1"/>
    <col min="37" max="37" width="5.28515625" style="1" customWidth="1"/>
    <col min="38" max="42" width="8.85546875" style="1" customWidth="1"/>
    <col min="43" max="43" width="5" style="1" customWidth="1"/>
    <col min="44" max="48" width="8.85546875" style="1" customWidth="1"/>
    <col min="49" max="49" width="4.7109375" style="1" customWidth="1"/>
    <col min="50" max="54" width="8.85546875" style="1" customWidth="1"/>
    <col min="55" max="55" width="4.28515625" style="1" customWidth="1"/>
    <col min="56" max="60" width="8.85546875" style="1" customWidth="1"/>
    <col min="61" max="61" width="6.28515625" style="1" customWidth="1"/>
    <col min="62" max="66" width="8.85546875" style="1" customWidth="1"/>
    <col min="67" max="67" width="4.7109375" style="1" customWidth="1"/>
    <col min="68" max="16384" width="8.85546875" style="1"/>
  </cols>
  <sheetData>
    <row r="1" spans="1:72" ht="23.25" customHeight="1" x14ac:dyDescent="0.25"/>
    <row r="2" spans="1:72" ht="18.75" x14ac:dyDescent="0.3">
      <c r="H2" s="3" t="s">
        <v>0</v>
      </c>
      <c r="I2" s="4">
        <v>1</v>
      </c>
      <c r="J2" s="4" t="s">
        <v>1</v>
      </c>
      <c r="K2" s="20" t="s">
        <v>2</v>
      </c>
      <c r="L2" s="21"/>
      <c r="N2" s="3" t="s">
        <v>0</v>
      </c>
      <c r="O2" s="4">
        <v>2</v>
      </c>
      <c r="P2" s="4" t="s">
        <v>1</v>
      </c>
      <c r="Q2" s="20" t="s">
        <v>3</v>
      </c>
      <c r="R2" s="21"/>
      <c r="T2" s="3" t="s">
        <v>0</v>
      </c>
      <c r="U2" s="4">
        <v>3</v>
      </c>
      <c r="V2" s="4" t="s">
        <v>1</v>
      </c>
      <c r="W2" s="20" t="s">
        <v>4</v>
      </c>
      <c r="X2" s="21"/>
      <c r="Z2" s="3" t="s">
        <v>0</v>
      </c>
      <c r="AA2" s="4">
        <v>4</v>
      </c>
      <c r="AB2" s="4" t="s">
        <v>1</v>
      </c>
      <c r="AC2" s="20" t="s">
        <v>2</v>
      </c>
      <c r="AD2" s="21"/>
      <c r="AF2" s="3" t="s">
        <v>0</v>
      </c>
      <c r="AG2" s="4">
        <v>5</v>
      </c>
      <c r="AH2" s="4" t="s">
        <v>1</v>
      </c>
      <c r="AI2" s="20" t="s">
        <v>3</v>
      </c>
      <c r="AJ2" s="21"/>
      <c r="AL2" s="3" t="s">
        <v>0</v>
      </c>
      <c r="AM2" s="4">
        <v>6</v>
      </c>
      <c r="AN2" s="4" t="s">
        <v>1</v>
      </c>
      <c r="AO2" s="20" t="s">
        <v>4</v>
      </c>
      <c r="AP2" s="21"/>
      <c r="AR2" s="3" t="s">
        <v>0</v>
      </c>
      <c r="AS2" s="4">
        <v>7</v>
      </c>
      <c r="AT2" s="4" t="s">
        <v>1</v>
      </c>
      <c r="AU2" s="20" t="s">
        <v>2</v>
      </c>
      <c r="AV2" s="21"/>
      <c r="AX2" s="3" t="s">
        <v>0</v>
      </c>
      <c r="AY2" s="4">
        <v>8</v>
      </c>
      <c r="AZ2" s="4" t="s">
        <v>1</v>
      </c>
      <c r="BA2" s="20" t="s">
        <v>3</v>
      </c>
      <c r="BB2" s="21"/>
      <c r="BD2" s="3" t="s">
        <v>0</v>
      </c>
      <c r="BE2" s="4">
        <v>9</v>
      </c>
      <c r="BF2" s="4" t="s">
        <v>1</v>
      </c>
      <c r="BG2" s="20" t="s">
        <v>4</v>
      </c>
      <c r="BH2" s="21"/>
      <c r="BJ2" s="20" t="s">
        <v>5</v>
      </c>
      <c r="BK2" s="22"/>
      <c r="BL2" s="22"/>
      <c r="BM2" s="22"/>
      <c r="BN2" s="21"/>
      <c r="BP2" s="20" t="s">
        <v>6</v>
      </c>
      <c r="BQ2" s="22"/>
      <c r="BR2" s="22"/>
      <c r="BS2" s="22"/>
      <c r="BT2" s="21"/>
    </row>
    <row r="3" spans="1:72" s="8" customFormat="1" ht="24.95" customHeight="1" x14ac:dyDescent="0.25">
      <c r="A3" s="23"/>
      <c r="B3" s="7" t="s">
        <v>7</v>
      </c>
      <c r="C3" s="24" t="s">
        <v>8</v>
      </c>
      <c r="D3" s="25"/>
      <c r="E3" s="7" t="s">
        <v>9</v>
      </c>
      <c r="F3" s="7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N3" s="9" t="s">
        <v>11</v>
      </c>
      <c r="O3" s="9" t="s">
        <v>12</v>
      </c>
      <c r="P3" s="9" t="s">
        <v>13</v>
      </c>
      <c r="Q3" s="9" t="s">
        <v>14</v>
      </c>
      <c r="R3" s="9" t="s">
        <v>15</v>
      </c>
      <c r="T3" s="9" t="s">
        <v>11</v>
      </c>
      <c r="U3" s="9" t="s">
        <v>12</v>
      </c>
      <c r="V3" s="9" t="s">
        <v>13</v>
      </c>
      <c r="W3" s="9" t="s">
        <v>14</v>
      </c>
      <c r="X3" s="9" t="s">
        <v>15</v>
      </c>
      <c r="Z3" s="9" t="s">
        <v>11</v>
      </c>
      <c r="AA3" s="9" t="s">
        <v>12</v>
      </c>
      <c r="AB3" s="9" t="s">
        <v>13</v>
      </c>
      <c r="AC3" s="9" t="s">
        <v>14</v>
      </c>
      <c r="AD3" s="9" t="s">
        <v>15</v>
      </c>
      <c r="AF3" s="9" t="s">
        <v>11</v>
      </c>
      <c r="AG3" s="9" t="s">
        <v>12</v>
      </c>
      <c r="AH3" s="9" t="s">
        <v>13</v>
      </c>
      <c r="AI3" s="9" t="s">
        <v>14</v>
      </c>
      <c r="AJ3" s="9" t="s">
        <v>15</v>
      </c>
      <c r="AL3" s="9" t="s">
        <v>11</v>
      </c>
      <c r="AM3" s="9" t="s">
        <v>12</v>
      </c>
      <c r="AN3" s="9" t="s">
        <v>13</v>
      </c>
      <c r="AO3" s="9" t="s">
        <v>14</v>
      </c>
      <c r="AP3" s="9" t="s">
        <v>15</v>
      </c>
      <c r="AR3" s="9" t="s">
        <v>11</v>
      </c>
      <c r="AS3" s="9" t="s">
        <v>12</v>
      </c>
      <c r="AT3" s="9" t="s">
        <v>13</v>
      </c>
      <c r="AU3" s="9" t="s">
        <v>14</v>
      </c>
      <c r="AV3" s="9" t="s">
        <v>15</v>
      </c>
      <c r="AX3" s="9" t="s">
        <v>11</v>
      </c>
      <c r="AY3" s="9" t="s">
        <v>12</v>
      </c>
      <c r="AZ3" s="9" t="s">
        <v>13</v>
      </c>
      <c r="BA3" s="9" t="s">
        <v>14</v>
      </c>
      <c r="BB3" s="9" t="s">
        <v>15</v>
      </c>
      <c r="BD3" s="9" t="s">
        <v>11</v>
      </c>
      <c r="BE3" s="9" t="s">
        <v>12</v>
      </c>
      <c r="BF3" s="9" t="s">
        <v>13</v>
      </c>
      <c r="BG3" s="9" t="s">
        <v>14</v>
      </c>
      <c r="BH3" s="9" t="s">
        <v>15</v>
      </c>
      <c r="BJ3" s="9" t="s">
        <v>11</v>
      </c>
      <c r="BK3" s="9" t="s">
        <v>12</v>
      </c>
      <c r="BL3" s="9" t="s">
        <v>13</v>
      </c>
      <c r="BM3" s="9" t="s">
        <v>14</v>
      </c>
      <c r="BN3" s="9" t="s">
        <v>15</v>
      </c>
      <c r="BP3" s="9" t="s">
        <v>11</v>
      </c>
      <c r="BQ3" s="9" t="s">
        <v>12</v>
      </c>
      <c r="BR3" s="9" t="s">
        <v>13</v>
      </c>
      <c r="BS3" s="9" t="s">
        <v>14</v>
      </c>
      <c r="BT3" s="9" t="s">
        <v>15</v>
      </c>
    </row>
    <row r="4" spans="1:72" s="11" customFormat="1" ht="24.95" customHeight="1" x14ac:dyDescent="0.25">
      <c r="A4" s="23"/>
      <c r="B4" s="10">
        <v>13</v>
      </c>
      <c r="C4" s="26" t="s">
        <v>16</v>
      </c>
      <c r="D4" s="27"/>
      <c r="E4" s="10" t="s">
        <v>17</v>
      </c>
      <c r="F4" s="10">
        <v>6</v>
      </c>
      <c r="H4" s="12">
        <v>2</v>
      </c>
      <c r="I4" s="12">
        <v>4</v>
      </c>
      <c r="J4" s="12">
        <v>1</v>
      </c>
      <c r="K4" s="12">
        <v>1</v>
      </c>
      <c r="L4" s="12">
        <v>0</v>
      </c>
      <c r="N4" s="12">
        <v>6</v>
      </c>
      <c r="O4" s="12">
        <v>2</v>
      </c>
      <c r="P4" s="12">
        <v>1</v>
      </c>
      <c r="Q4" s="12">
        <v>0</v>
      </c>
      <c r="R4" s="12">
        <v>0</v>
      </c>
      <c r="T4" s="12"/>
      <c r="U4" s="12">
        <v>5</v>
      </c>
      <c r="V4" s="12">
        <v>2</v>
      </c>
      <c r="W4" s="12"/>
      <c r="X4" s="12"/>
      <c r="Z4" s="12">
        <v>4</v>
      </c>
      <c r="AA4" s="12"/>
      <c r="AB4" s="12">
        <v>2</v>
      </c>
      <c r="AC4" s="12"/>
      <c r="AD4" s="12"/>
      <c r="AF4" s="12">
        <v>6</v>
      </c>
      <c r="AG4" s="12">
        <v>3</v>
      </c>
      <c r="AH4" s="12"/>
      <c r="AI4" s="12"/>
      <c r="AJ4" s="12"/>
      <c r="AL4" s="12">
        <v>4</v>
      </c>
      <c r="AM4" s="12">
        <v>2</v>
      </c>
      <c r="AN4" s="12"/>
      <c r="AO4" s="12">
        <v>2</v>
      </c>
      <c r="AP4" s="12"/>
      <c r="AR4" s="12"/>
      <c r="AS4" s="12"/>
      <c r="AT4" s="12"/>
      <c r="AU4" s="12"/>
      <c r="AV4" s="12"/>
      <c r="AX4" s="12"/>
      <c r="AY4" s="12"/>
      <c r="AZ4" s="12"/>
      <c r="BA4" s="12"/>
      <c r="BB4" s="12"/>
      <c r="BD4" s="12"/>
      <c r="BE4" s="12"/>
      <c r="BF4" s="12"/>
      <c r="BG4" s="12"/>
      <c r="BH4" s="12"/>
      <c r="BJ4" s="12">
        <f>H4+N4+T4+Z4+AF4+AL4+AR4+AX4+BD4</f>
        <v>22</v>
      </c>
      <c r="BK4" s="12">
        <f>I4+O4+U4+AA4+AG4+AM4+AS4+AY4+BE4</f>
        <v>16</v>
      </c>
      <c r="BL4" s="12">
        <f t="shared" ref="BL4:BN11" si="0">J4+P4+V4+AB4+AH4+AN4+AT4+AZ4+BF4</f>
        <v>6</v>
      </c>
      <c r="BM4" s="12">
        <f t="shared" si="0"/>
        <v>3</v>
      </c>
      <c r="BN4" s="12">
        <f t="shared" si="0"/>
        <v>0</v>
      </c>
      <c r="BP4" s="13">
        <f t="shared" ref="BP4:BP11" si="1">BJ4/F4</f>
        <v>3.6666666666666665</v>
      </c>
      <c r="BQ4" s="13">
        <f t="shared" ref="BQ4:BQ11" si="2">BK4/F4</f>
        <v>2.6666666666666665</v>
      </c>
      <c r="BR4" s="13">
        <f t="shared" ref="BR4:BR11" si="3">BL4/F4</f>
        <v>1</v>
      </c>
      <c r="BS4" s="13">
        <f t="shared" ref="BS4:BS11" si="4">BM4/F4</f>
        <v>0.5</v>
      </c>
      <c r="BT4" s="13">
        <f t="shared" ref="BT4:BT11" si="5">BN4/F4</f>
        <v>0</v>
      </c>
    </row>
    <row r="5" spans="1:72" s="11" customFormat="1" ht="24.95" customHeight="1" x14ac:dyDescent="0.25">
      <c r="A5" s="23"/>
      <c r="B5" s="10">
        <v>8</v>
      </c>
      <c r="C5" s="26" t="s">
        <v>18</v>
      </c>
      <c r="D5" s="27"/>
      <c r="E5" s="10" t="s">
        <v>19</v>
      </c>
      <c r="F5" s="10">
        <v>5</v>
      </c>
      <c r="H5" s="12">
        <v>5</v>
      </c>
      <c r="I5" s="12">
        <v>6</v>
      </c>
      <c r="J5" s="12">
        <v>5</v>
      </c>
      <c r="K5" s="12">
        <v>2</v>
      </c>
      <c r="L5" s="12">
        <v>1</v>
      </c>
      <c r="N5" s="12">
        <v>0</v>
      </c>
      <c r="O5" s="12">
        <v>8</v>
      </c>
      <c r="P5" s="12">
        <v>1</v>
      </c>
      <c r="Q5" s="12">
        <v>4</v>
      </c>
      <c r="R5" s="12">
        <v>1</v>
      </c>
      <c r="T5" s="12">
        <v>12</v>
      </c>
      <c r="U5" s="12">
        <v>6</v>
      </c>
      <c r="V5" s="12"/>
      <c r="W5" s="12">
        <v>2</v>
      </c>
      <c r="X5" s="12">
        <v>1</v>
      </c>
      <c r="Z5" s="12">
        <v>7</v>
      </c>
      <c r="AA5" s="12">
        <v>4</v>
      </c>
      <c r="AB5" s="12">
        <v>3</v>
      </c>
      <c r="AC5" s="12">
        <v>2</v>
      </c>
      <c r="AD5" s="12">
        <v>2</v>
      </c>
      <c r="AF5" s="12">
        <v>4</v>
      </c>
      <c r="AG5" s="12">
        <v>4</v>
      </c>
      <c r="AH5" s="12">
        <v>1</v>
      </c>
      <c r="AI5" s="12">
        <v>2</v>
      </c>
      <c r="AJ5" s="12"/>
      <c r="AL5" s="14"/>
      <c r="AM5" s="14"/>
      <c r="AN5" s="14"/>
      <c r="AO5" s="14"/>
      <c r="AP5" s="14"/>
      <c r="AR5" s="12"/>
      <c r="AS5" s="12"/>
      <c r="AT5" s="12"/>
      <c r="AU5" s="12"/>
      <c r="AV5" s="12"/>
      <c r="AX5" s="12"/>
      <c r="AY5" s="12"/>
      <c r="AZ5" s="12"/>
      <c r="BA5" s="12"/>
      <c r="BB5" s="12"/>
      <c r="BD5" s="12"/>
      <c r="BE5" s="12"/>
      <c r="BF5" s="12"/>
      <c r="BG5" s="12"/>
      <c r="BH5" s="12"/>
      <c r="BJ5" s="12">
        <f t="shared" ref="BJ5:BK11" si="6">H5+N5+T5+Z5+AF5+AL5+AR5+AX5+BD5</f>
        <v>28</v>
      </c>
      <c r="BK5" s="12">
        <f t="shared" si="6"/>
        <v>28</v>
      </c>
      <c r="BL5" s="12">
        <f t="shared" si="0"/>
        <v>10</v>
      </c>
      <c r="BM5" s="12">
        <f t="shared" si="0"/>
        <v>12</v>
      </c>
      <c r="BN5" s="12">
        <f t="shared" si="0"/>
        <v>5</v>
      </c>
      <c r="BP5" s="13">
        <f t="shared" si="1"/>
        <v>5.6</v>
      </c>
      <c r="BQ5" s="13">
        <f t="shared" si="2"/>
        <v>5.6</v>
      </c>
      <c r="BR5" s="13">
        <f t="shared" si="3"/>
        <v>2</v>
      </c>
      <c r="BS5" s="13">
        <f t="shared" si="4"/>
        <v>2.4</v>
      </c>
      <c r="BT5" s="13">
        <f t="shared" si="5"/>
        <v>1</v>
      </c>
    </row>
    <row r="6" spans="1:72" s="11" customFormat="1" ht="24.95" customHeight="1" x14ac:dyDescent="0.25">
      <c r="A6" s="23"/>
      <c r="B6" s="10">
        <v>2</v>
      </c>
      <c r="C6" s="26" t="s">
        <v>20</v>
      </c>
      <c r="D6" s="27"/>
      <c r="E6" s="10" t="s">
        <v>21</v>
      </c>
      <c r="F6" s="10">
        <v>3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6"/>
      <c r="N6" s="15">
        <v>0</v>
      </c>
      <c r="O6" s="15">
        <v>0</v>
      </c>
      <c r="P6" s="15">
        <v>0</v>
      </c>
      <c r="Q6" s="15">
        <v>0</v>
      </c>
      <c r="R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Z6" s="12">
        <v>2</v>
      </c>
      <c r="AA6" s="12">
        <v>1</v>
      </c>
      <c r="AB6" s="12"/>
      <c r="AC6" s="12"/>
      <c r="AD6" s="12"/>
      <c r="AF6" s="12">
        <v>7</v>
      </c>
      <c r="AG6" s="12"/>
      <c r="AH6" s="12">
        <v>1</v>
      </c>
      <c r="AI6" s="12">
        <v>2</v>
      </c>
      <c r="AJ6" s="12"/>
      <c r="AL6" s="12">
        <v>16</v>
      </c>
      <c r="AM6" s="12">
        <v>1</v>
      </c>
      <c r="AN6" s="12"/>
      <c r="AO6" s="12">
        <v>2</v>
      </c>
      <c r="AP6" s="12"/>
      <c r="AR6" s="12"/>
      <c r="AS6" s="12"/>
      <c r="AT6" s="12"/>
      <c r="AU6" s="12"/>
      <c r="AV6" s="12"/>
      <c r="AX6" s="12"/>
      <c r="AY6" s="12"/>
      <c r="AZ6" s="12"/>
      <c r="BA6" s="12"/>
      <c r="BB6" s="12"/>
      <c r="BD6" s="12"/>
      <c r="BE6" s="12"/>
      <c r="BF6" s="12"/>
      <c r="BG6" s="12"/>
      <c r="BH6" s="12"/>
      <c r="BJ6" s="12">
        <f t="shared" si="6"/>
        <v>25</v>
      </c>
      <c r="BK6" s="12">
        <f t="shared" si="6"/>
        <v>2</v>
      </c>
      <c r="BL6" s="12">
        <f t="shared" si="0"/>
        <v>1</v>
      </c>
      <c r="BM6" s="12">
        <f t="shared" si="0"/>
        <v>4</v>
      </c>
      <c r="BN6" s="12">
        <f t="shared" si="0"/>
        <v>0</v>
      </c>
      <c r="BP6" s="13">
        <f t="shared" si="1"/>
        <v>8.3333333333333339</v>
      </c>
      <c r="BQ6" s="13">
        <f t="shared" si="2"/>
        <v>0.66666666666666663</v>
      </c>
      <c r="BR6" s="13">
        <f t="shared" si="3"/>
        <v>0.33333333333333331</v>
      </c>
      <c r="BS6" s="13">
        <f t="shared" si="4"/>
        <v>1.3333333333333333</v>
      </c>
      <c r="BT6" s="13">
        <f t="shared" si="5"/>
        <v>0</v>
      </c>
    </row>
    <row r="7" spans="1:72" s="11" customFormat="1" ht="24.95" customHeight="1" x14ac:dyDescent="0.25">
      <c r="A7" s="23"/>
      <c r="B7" s="10">
        <v>0</v>
      </c>
      <c r="C7" s="26" t="s">
        <v>53</v>
      </c>
      <c r="D7" s="27"/>
      <c r="E7" s="10" t="s">
        <v>21</v>
      </c>
      <c r="F7" s="10">
        <v>2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6"/>
      <c r="N7" s="15">
        <v>0</v>
      </c>
      <c r="O7" s="15">
        <v>0</v>
      </c>
      <c r="P7" s="15">
        <v>0</v>
      </c>
      <c r="Q7" s="15">
        <v>0</v>
      </c>
      <c r="R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Z7" s="12">
        <v>5</v>
      </c>
      <c r="AA7" s="12"/>
      <c r="AB7" s="12"/>
      <c r="AC7" s="12"/>
      <c r="AD7" s="12"/>
      <c r="AF7" s="12">
        <v>5</v>
      </c>
      <c r="AG7" s="12">
        <v>2</v>
      </c>
      <c r="AH7" s="12"/>
      <c r="AI7" s="12"/>
      <c r="AJ7" s="12"/>
      <c r="AL7" s="14"/>
      <c r="AM7" s="14"/>
      <c r="AN7" s="14"/>
      <c r="AO7" s="14"/>
      <c r="AP7" s="14"/>
      <c r="AR7" s="12"/>
      <c r="AS7" s="12"/>
      <c r="AT7" s="12"/>
      <c r="AU7" s="12"/>
      <c r="AV7" s="12"/>
      <c r="AX7" s="12"/>
      <c r="AY7" s="12"/>
      <c r="AZ7" s="12"/>
      <c r="BA7" s="12"/>
      <c r="BB7" s="12"/>
      <c r="BD7" s="12"/>
      <c r="BE7" s="12"/>
      <c r="BF7" s="12"/>
      <c r="BG7" s="12"/>
      <c r="BH7" s="12"/>
      <c r="BJ7" s="12">
        <f t="shared" si="6"/>
        <v>10</v>
      </c>
      <c r="BK7" s="12">
        <f t="shared" si="6"/>
        <v>2</v>
      </c>
      <c r="BL7" s="12">
        <f t="shared" si="0"/>
        <v>0</v>
      </c>
      <c r="BM7" s="12">
        <f t="shared" si="0"/>
        <v>0</v>
      </c>
      <c r="BN7" s="12">
        <f t="shared" si="0"/>
        <v>0</v>
      </c>
      <c r="BP7" s="13">
        <f t="shared" si="1"/>
        <v>5</v>
      </c>
      <c r="BQ7" s="13">
        <f t="shared" si="2"/>
        <v>1</v>
      </c>
      <c r="BR7" s="13">
        <f t="shared" si="3"/>
        <v>0</v>
      </c>
      <c r="BS7" s="13">
        <f t="shared" si="4"/>
        <v>0</v>
      </c>
      <c r="BT7" s="13">
        <f t="shared" si="5"/>
        <v>0</v>
      </c>
    </row>
    <row r="8" spans="1:72" s="11" customFormat="1" ht="24.95" customHeight="1" x14ac:dyDescent="0.25">
      <c r="A8" s="23"/>
      <c r="B8" s="10">
        <v>11</v>
      </c>
      <c r="C8" s="26" t="s">
        <v>22</v>
      </c>
      <c r="D8" s="27"/>
      <c r="E8" s="10" t="s">
        <v>23</v>
      </c>
      <c r="F8" s="10">
        <v>4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6"/>
      <c r="N8" s="15">
        <v>0</v>
      </c>
      <c r="O8" s="15">
        <v>0</v>
      </c>
      <c r="P8" s="15">
        <v>0</v>
      </c>
      <c r="Q8" s="15">
        <v>0</v>
      </c>
      <c r="R8" s="15">
        <v>0</v>
      </c>
      <c r="T8" s="12">
        <v>15</v>
      </c>
      <c r="U8" s="12">
        <v>5</v>
      </c>
      <c r="V8" s="12">
        <v>2</v>
      </c>
      <c r="W8" s="12">
        <v>1</v>
      </c>
      <c r="X8" s="12"/>
      <c r="Z8" s="12">
        <v>11</v>
      </c>
      <c r="AA8" s="12">
        <v>2</v>
      </c>
      <c r="AB8" s="12"/>
      <c r="AC8" s="12">
        <v>2</v>
      </c>
      <c r="AD8" s="12"/>
      <c r="AF8" s="12">
        <v>7</v>
      </c>
      <c r="AG8" s="12">
        <v>7</v>
      </c>
      <c r="AH8" s="12">
        <v>2</v>
      </c>
      <c r="AI8" s="12">
        <v>2</v>
      </c>
      <c r="AJ8" s="12"/>
      <c r="AL8" s="12">
        <v>15</v>
      </c>
      <c r="AM8" s="12">
        <v>10</v>
      </c>
      <c r="AN8" s="12">
        <v>1</v>
      </c>
      <c r="AO8" s="12">
        <v>3</v>
      </c>
      <c r="AP8" s="12">
        <v>3</v>
      </c>
      <c r="AR8" s="12"/>
      <c r="AS8" s="12"/>
      <c r="AT8" s="12"/>
      <c r="AU8" s="12"/>
      <c r="AV8" s="12"/>
      <c r="AX8" s="12"/>
      <c r="AY8" s="12"/>
      <c r="AZ8" s="12"/>
      <c r="BA8" s="12"/>
      <c r="BB8" s="12"/>
      <c r="BD8" s="12"/>
      <c r="BE8" s="12"/>
      <c r="BF8" s="12"/>
      <c r="BG8" s="12"/>
      <c r="BH8" s="12"/>
      <c r="BJ8" s="12">
        <f t="shared" si="6"/>
        <v>48</v>
      </c>
      <c r="BK8" s="12">
        <f t="shared" si="6"/>
        <v>24</v>
      </c>
      <c r="BL8" s="12">
        <f t="shared" si="0"/>
        <v>5</v>
      </c>
      <c r="BM8" s="12">
        <f t="shared" si="0"/>
        <v>8</v>
      </c>
      <c r="BN8" s="12">
        <f t="shared" si="0"/>
        <v>3</v>
      </c>
      <c r="BP8" s="13">
        <f t="shared" si="1"/>
        <v>12</v>
      </c>
      <c r="BQ8" s="13">
        <f t="shared" si="2"/>
        <v>6</v>
      </c>
      <c r="BR8" s="13">
        <f t="shared" si="3"/>
        <v>1.25</v>
      </c>
      <c r="BS8" s="13">
        <f t="shared" si="4"/>
        <v>2</v>
      </c>
      <c r="BT8" s="13">
        <f t="shared" si="5"/>
        <v>0.75</v>
      </c>
    </row>
    <row r="9" spans="1:72" s="11" customFormat="1" ht="24.95" customHeight="1" x14ac:dyDescent="0.25">
      <c r="A9" s="23"/>
      <c r="B9" s="10">
        <v>47</v>
      </c>
      <c r="C9" s="26" t="s">
        <v>24</v>
      </c>
      <c r="D9" s="27"/>
      <c r="E9" s="10" t="s">
        <v>25</v>
      </c>
      <c r="F9" s="10">
        <v>6</v>
      </c>
      <c r="H9" s="12">
        <v>7</v>
      </c>
      <c r="I9" s="12">
        <v>2</v>
      </c>
      <c r="J9" s="12">
        <v>3</v>
      </c>
      <c r="K9" s="12">
        <v>1</v>
      </c>
      <c r="L9" s="12">
        <v>0</v>
      </c>
      <c r="N9" s="12">
        <v>10</v>
      </c>
      <c r="O9" s="12">
        <v>3</v>
      </c>
      <c r="P9" s="12">
        <v>2</v>
      </c>
      <c r="Q9" s="12">
        <v>1</v>
      </c>
      <c r="R9" s="12">
        <v>0</v>
      </c>
      <c r="T9" s="12">
        <v>9</v>
      </c>
      <c r="U9" s="12">
        <v>2</v>
      </c>
      <c r="V9" s="12">
        <v>1</v>
      </c>
      <c r="W9" s="12">
        <v>1</v>
      </c>
      <c r="X9" s="12"/>
      <c r="Z9" s="12">
        <v>2</v>
      </c>
      <c r="AA9" s="12">
        <v>3</v>
      </c>
      <c r="AB9" s="12"/>
      <c r="AC9" s="12">
        <v>2</v>
      </c>
      <c r="AD9" s="12"/>
      <c r="AF9" s="12">
        <v>2</v>
      </c>
      <c r="AG9" s="12"/>
      <c r="AH9" s="12">
        <v>1</v>
      </c>
      <c r="AI9" s="12">
        <v>2</v>
      </c>
      <c r="AJ9" s="12"/>
      <c r="AL9" s="12">
        <v>5</v>
      </c>
      <c r="AM9" s="12">
        <v>2</v>
      </c>
      <c r="AN9" s="12"/>
      <c r="AO9" s="12">
        <v>2</v>
      </c>
      <c r="AP9" s="12"/>
      <c r="AR9" s="12"/>
      <c r="AS9" s="12"/>
      <c r="AT9" s="12"/>
      <c r="AU9" s="12"/>
      <c r="AV9" s="12"/>
      <c r="AX9" s="12"/>
      <c r="AY9" s="12"/>
      <c r="AZ9" s="12"/>
      <c r="BA9" s="12"/>
      <c r="BB9" s="12"/>
      <c r="BD9" s="12"/>
      <c r="BE9" s="12"/>
      <c r="BF9" s="12"/>
      <c r="BG9" s="12"/>
      <c r="BH9" s="12"/>
      <c r="BJ9" s="12">
        <f t="shared" si="6"/>
        <v>35</v>
      </c>
      <c r="BK9" s="12">
        <f t="shared" si="6"/>
        <v>12</v>
      </c>
      <c r="BL9" s="12">
        <f t="shared" si="0"/>
        <v>7</v>
      </c>
      <c r="BM9" s="12">
        <f t="shared" si="0"/>
        <v>9</v>
      </c>
      <c r="BN9" s="12">
        <f t="shared" si="0"/>
        <v>0</v>
      </c>
      <c r="BP9" s="13">
        <f t="shared" si="1"/>
        <v>5.833333333333333</v>
      </c>
      <c r="BQ9" s="13">
        <f t="shared" si="2"/>
        <v>2</v>
      </c>
      <c r="BR9" s="13">
        <f t="shared" si="3"/>
        <v>1.1666666666666667</v>
      </c>
      <c r="BS9" s="13">
        <f t="shared" si="4"/>
        <v>1.5</v>
      </c>
      <c r="BT9" s="13">
        <f t="shared" si="5"/>
        <v>0</v>
      </c>
    </row>
    <row r="10" spans="1:72" s="11" customFormat="1" ht="24.95" customHeight="1" x14ac:dyDescent="0.25">
      <c r="A10" s="23"/>
      <c r="B10" s="10">
        <v>4</v>
      </c>
      <c r="C10" s="26" t="s">
        <v>26</v>
      </c>
      <c r="D10" s="27"/>
      <c r="E10" s="10" t="s">
        <v>21</v>
      </c>
      <c r="F10" s="10">
        <v>5</v>
      </c>
      <c r="H10" s="12">
        <v>9</v>
      </c>
      <c r="I10" s="12">
        <v>1</v>
      </c>
      <c r="J10" s="12">
        <v>1</v>
      </c>
      <c r="K10" s="12">
        <v>0</v>
      </c>
      <c r="L10" s="12">
        <v>0</v>
      </c>
      <c r="N10" s="12">
        <v>3</v>
      </c>
      <c r="O10" s="12">
        <v>2</v>
      </c>
      <c r="P10" s="12">
        <v>0</v>
      </c>
      <c r="Q10" s="12">
        <v>0</v>
      </c>
      <c r="R10" s="12">
        <v>0</v>
      </c>
      <c r="T10" s="12">
        <v>3</v>
      </c>
      <c r="U10" s="12">
        <v>3</v>
      </c>
      <c r="V10" s="12">
        <v>1</v>
      </c>
      <c r="W10" s="12"/>
      <c r="X10" s="12"/>
      <c r="Z10" s="12">
        <v>3</v>
      </c>
      <c r="AA10" s="12">
        <v>4</v>
      </c>
      <c r="AB10" s="12"/>
      <c r="AC10" s="12"/>
      <c r="AD10" s="12"/>
      <c r="AF10" s="12">
        <v>3</v>
      </c>
      <c r="AG10" s="12">
        <v>1</v>
      </c>
      <c r="AH10" s="12"/>
      <c r="AI10" s="12"/>
      <c r="AJ10" s="12"/>
      <c r="AL10" s="14"/>
      <c r="AM10" s="14"/>
      <c r="AN10" s="14"/>
      <c r="AO10" s="14"/>
      <c r="AP10" s="14"/>
      <c r="AR10" s="12"/>
      <c r="AS10" s="12"/>
      <c r="AT10" s="12"/>
      <c r="AU10" s="12"/>
      <c r="AV10" s="12"/>
      <c r="AX10" s="12"/>
      <c r="AY10" s="12"/>
      <c r="AZ10" s="12"/>
      <c r="BA10" s="12"/>
      <c r="BB10" s="12"/>
      <c r="BD10" s="12"/>
      <c r="BE10" s="12"/>
      <c r="BF10" s="12"/>
      <c r="BG10" s="12"/>
      <c r="BH10" s="12"/>
      <c r="BJ10" s="12">
        <f t="shared" si="6"/>
        <v>21</v>
      </c>
      <c r="BK10" s="12">
        <f t="shared" si="6"/>
        <v>11</v>
      </c>
      <c r="BL10" s="12">
        <f t="shared" si="0"/>
        <v>2</v>
      </c>
      <c r="BM10" s="12">
        <f t="shared" si="0"/>
        <v>0</v>
      </c>
      <c r="BN10" s="12">
        <f t="shared" si="0"/>
        <v>0</v>
      </c>
      <c r="BP10" s="13">
        <f t="shared" si="1"/>
        <v>4.2</v>
      </c>
      <c r="BQ10" s="13">
        <f t="shared" si="2"/>
        <v>2.2000000000000002</v>
      </c>
      <c r="BR10" s="13">
        <f t="shared" si="3"/>
        <v>0.4</v>
      </c>
      <c r="BS10" s="13">
        <f t="shared" si="4"/>
        <v>0</v>
      </c>
      <c r="BT10" s="13">
        <f t="shared" si="5"/>
        <v>0</v>
      </c>
    </row>
    <row r="11" spans="1:72" s="11" customFormat="1" ht="24.95" customHeight="1" x14ac:dyDescent="0.25">
      <c r="A11" s="23"/>
      <c r="B11" s="10">
        <v>29</v>
      </c>
      <c r="C11" s="26" t="s">
        <v>27</v>
      </c>
      <c r="D11" s="27"/>
      <c r="E11" s="10" t="s">
        <v>25</v>
      </c>
      <c r="F11" s="10">
        <v>6</v>
      </c>
      <c r="H11" s="12">
        <v>0</v>
      </c>
      <c r="I11" s="12">
        <v>2</v>
      </c>
      <c r="J11" s="12">
        <v>3</v>
      </c>
      <c r="K11" s="12">
        <v>1</v>
      </c>
      <c r="L11" s="12">
        <v>0</v>
      </c>
      <c r="N11" s="12">
        <v>6</v>
      </c>
      <c r="O11" s="12">
        <v>1</v>
      </c>
      <c r="P11" s="12">
        <v>1</v>
      </c>
      <c r="Q11" s="12">
        <v>1</v>
      </c>
      <c r="R11" s="12">
        <v>0</v>
      </c>
      <c r="T11" s="12">
        <v>3</v>
      </c>
      <c r="U11" s="12">
        <v>2</v>
      </c>
      <c r="V11" s="12">
        <v>1</v>
      </c>
      <c r="W11" s="12">
        <v>2</v>
      </c>
      <c r="X11" s="12"/>
      <c r="Z11" s="12">
        <v>2</v>
      </c>
      <c r="AA11" s="12">
        <v>1</v>
      </c>
      <c r="AB11" s="12"/>
      <c r="AC11" s="12">
        <v>1</v>
      </c>
      <c r="AD11" s="12"/>
      <c r="AF11" s="12">
        <v>2</v>
      </c>
      <c r="AG11" s="12">
        <v>3</v>
      </c>
      <c r="AH11" s="12"/>
      <c r="AI11" s="12">
        <v>2</v>
      </c>
      <c r="AJ11" s="12"/>
      <c r="AL11" s="12">
        <v>2</v>
      </c>
      <c r="AM11" s="12">
        <v>4</v>
      </c>
      <c r="AN11" s="12"/>
      <c r="AO11" s="12"/>
      <c r="AP11" s="12"/>
      <c r="AR11" s="12"/>
      <c r="AS11" s="12"/>
      <c r="AT11" s="12"/>
      <c r="AU11" s="12"/>
      <c r="AV11" s="12"/>
      <c r="AX11" s="12"/>
      <c r="AY11" s="12"/>
      <c r="AZ11" s="12"/>
      <c r="BA11" s="12"/>
      <c r="BB11" s="12"/>
      <c r="BD11" s="12"/>
      <c r="BE11" s="12"/>
      <c r="BF11" s="12"/>
      <c r="BG11" s="12"/>
      <c r="BH11" s="12"/>
      <c r="BJ11" s="12">
        <f t="shared" si="6"/>
        <v>15</v>
      </c>
      <c r="BK11" s="12">
        <f t="shared" si="6"/>
        <v>13</v>
      </c>
      <c r="BL11" s="12">
        <f t="shared" si="0"/>
        <v>5</v>
      </c>
      <c r="BM11" s="12">
        <f t="shared" si="0"/>
        <v>7</v>
      </c>
      <c r="BN11" s="12">
        <f t="shared" si="0"/>
        <v>0</v>
      </c>
      <c r="BP11" s="13">
        <f t="shared" si="1"/>
        <v>2.5</v>
      </c>
      <c r="BQ11" s="13">
        <f t="shared" si="2"/>
        <v>2.1666666666666665</v>
      </c>
      <c r="BR11" s="13">
        <f t="shared" si="3"/>
        <v>0.83333333333333337</v>
      </c>
      <c r="BS11" s="13">
        <f t="shared" si="4"/>
        <v>1.1666666666666667</v>
      </c>
      <c r="BT11" s="13">
        <f t="shared" si="5"/>
        <v>0</v>
      </c>
    </row>
    <row r="12" spans="1:72" x14ac:dyDescent="0.25">
      <c r="H12" s="2">
        <f>SUM(H4:H11)</f>
        <v>23</v>
      </c>
      <c r="I12" s="2">
        <f t="shared" ref="I12:X12" si="7">SUM(I4:I11)</f>
        <v>15</v>
      </c>
      <c r="J12" s="2">
        <f t="shared" si="7"/>
        <v>13</v>
      </c>
      <c r="K12" s="2">
        <f t="shared" si="7"/>
        <v>5</v>
      </c>
      <c r="L12" s="2">
        <f t="shared" si="7"/>
        <v>1</v>
      </c>
      <c r="M12" s="2"/>
      <c r="N12" s="2">
        <f t="shared" si="7"/>
        <v>25</v>
      </c>
      <c r="O12" s="2">
        <f t="shared" si="7"/>
        <v>16</v>
      </c>
      <c r="P12" s="2">
        <f t="shared" si="7"/>
        <v>5</v>
      </c>
      <c r="Q12" s="2">
        <f t="shared" si="7"/>
        <v>6</v>
      </c>
      <c r="R12" s="2">
        <f t="shared" si="7"/>
        <v>1</v>
      </c>
      <c r="S12" s="2"/>
      <c r="T12" s="2">
        <f t="shared" si="7"/>
        <v>42</v>
      </c>
      <c r="U12" s="2">
        <f t="shared" si="7"/>
        <v>23</v>
      </c>
      <c r="V12" s="2">
        <f t="shared" si="7"/>
        <v>7</v>
      </c>
      <c r="W12" s="2">
        <f t="shared" si="7"/>
        <v>6</v>
      </c>
      <c r="X12" s="2">
        <f t="shared" si="7"/>
        <v>1</v>
      </c>
      <c r="Z12" s="2">
        <f>SUM(Z4:Z11)</f>
        <v>36</v>
      </c>
      <c r="AA12" s="2">
        <f t="shared" ref="AA12:AD12" si="8">SUM(AA4:AA11)</f>
        <v>15</v>
      </c>
      <c r="AB12" s="2">
        <f t="shared" si="8"/>
        <v>5</v>
      </c>
      <c r="AC12" s="2">
        <f t="shared" si="8"/>
        <v>7</v>
      </c>
      <c r="AD12" s="2">
        <f t="shared" si="8"/>
        <v>2</v>
      </c>
      <c r="AE12" s="2"/>
      <c r="AF12" s="2">
        <f t="shared" ref="AF12:BH12" si="9">SUM(AF4:AF11)</f>
        <v>36</v>
      </c>
      <c r="AG12" s="2">
        <f t="shared" si="9"/>
        <v>20</v>
      </c>
      <c r="AH12" s="2">
        <f t="shared" si="9"/>
        <v>5</v>
      </c>
      <c r="AI12" s="2">
        <f t="shared" si="9"/>
        <v>10</v>
      </c>
      <c r="AJ12" s="2">
        <f t="shared" si="9"/>
        <v>0</v>
      </c>
      <c r="AK12" s="2"/>
      <c r="AL12" s="2">
        <f t="shared" si="9"/>
        <v>42</v>
      </c>
      <c r="AM12" s="2">
        <f t="shared" si="9"/>
        <v>19</v>
      </c>
      <c r="AN12" s="2">
        <f t="shared" si="9"/>
        <v>1</v>
      </c>
      <c r="AO12" s="2">
        <f t="shared" si="9"/>
        <v>9</v>
      </c>
      <c r="AP12" s="2">
        <f t="shared" si="9"/>
        <v>3</v>
      </c>
      <c r="AQ12" s="2"/>
      <c r="AR12" s="2">
        <f t="shared" si="9"/>
        <v>0</v>
      </c>
      <c r="AS12" s="2">
        <f t="shared" si="9"/>
        <v>0</v>
      </c>
      <c r="AT12" s="2">
        <f t="shared" si="9"/>
        <v>0</v>
      </c>
      <c r="AU12" s="2">
        <f t="shared" si="9"/>
        <v>0</v>
      </c>
      <c r="AV12" s="2">
        <f t="shared" si="9"/>
        <v>0</v>
      </c>
      <c r="AW12" s="2"/>
      <c r="AX12" s="2">
        <f t="shared" si="9"/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2">
        <f t="shared" si="9"/>
        <v>0</v>
      </c>
      <c r="BC12" s="2"/>
      <c r="BD12" s="2">
        <f t="shared" si="9"/>
        <v>0</v>
      </c>
      <c r="BE12" s="2">
        <f t="shared" si="9"/>
        <v>0</v>
      </c>
      <c r="BF12" s="2">
        <f t="shared" si="9"/>
        <v>0</v>
      </c>
      <c r="BG12" s="2">
        <f t="shared" si="9"/>
        <v>0</v>
      </c>
      <c r="BH12" s="2">
        <f t="shared" si="9"/>
        <v>0</v>
      </c>
    </row>
    <row r="14" spans="1:72" ht="18.75" x14ac:dyDescent="0.3">
      <c r="H14" s="3" t="s">
        <v>0</v>
      </c>
      <c r="I14" s="4">
        <v>1</v>
      </c>
      <c r="J14" s="4" t="s">
        <v>1</v>
      </c>
      <c r="K14" s="20" t="s">
        <v>28</v>
      </c>
      <c r="L14" s="21"/>
      <c r="N14" s="3" t="s">
        <v>0</v>
      </c>
      <c r="O14" s="4">
        <v>2</v>
      </c>
      <c r="P14" s="4" t="s">
        <v>1</v>
      </c>
      <c r="Q14" s="20" t="s">
        <v>4</v>
      </c>
      <c r="R14" s="21"/>
      <c r="T14" s="3" t="s">
        <v>0</v>
      </c>
      <c r="U14" s="4">
        <v>3</v>
      </c>
      <c r="V14" s="4" t="s">
        <v>1</v>
      </c>
      <c r="W14" s="20" t="s">
        <v>3</v>
      </c>
      <c r="X14" s="21"/>
      <c r="Z14" s="3" t="s">
        <v>0</v>
      </c>
      <c r="AA14" s="4">
        <v>4</v>
      </c>
      <c r="AB14" s="4" t="s">
        <v>1</v>
      </c>
      <c r="AC14" s="20" t="s">
        <v>28</v>
      </c>
      <c r="AD14" s="21"/>
      <c r="AF14" s="3" t="s">
        <v>0</v>
      </c>
      <c r="AG14" s="4">
        <v>5</v>
      </c>
      <c r="AH14" s="4" t="s">
        <v>1</v>
      </c>
      <c r="AI14" s="5" t="s">
        <v>4</v>
      </c>
      <c r="AJ14" s="6"/>
      <c r="AL14" s="3" t="s">
        <v>0</v>
      </c>
      <c r="AM14" s="4">
        <v>6</v>
      </c>
      <c r="AN14" s="4" t="s">
        <v>1</v>
      </c>
      <c r="AO14" s="20" t="s">
        <v>3</v>
      </c>
      <c r="AP14" s="21"/>
      <c r="AR14" s="3" t="s">
        <v>0</v>
      </c>
      <c r="AS14" s="4">
        <v>7</v>
      </c>
      <c r="AT14" s="4" t="s">
        <v>1</v>
      </c>
      <c r="AU14" s="20" t="s">
        <v>4</v>
      </c>
      <c r="AV14" s="21"/>
      <c r="AX14" s="3" t="s">
        <v>0</v>
      </c>
      <c r="AY14" s="4">
        <v>8</v>
      </c>
      <c r="AZ14" s="4" t="s">
        <v>1</v>
      </c>
      <c r="BA14" s="5" t="s">
        <v>28</v>
      </c>
      <c r="BB14" s="6"/>
      <c r="BD14" s="3" t="s">
        <v>0</v>
      </c>
      <c r="BE14" s="4">
        <v>9</v>
      </c>
      <c r="BF14" s="4" t="s">
        <v>1</v>
      </c>
      <c r="BG14" s="20" t="s">
        <v>3</v>
      </c>
      <c r="BH14" s="21"/>
      <c r="BJ14" s="20" t="s">
        <v>5</v>
      </c>
      <c r="BK14" s="22"/>
      <c r="BL14" s="22"/>
      <c r="BM14" s="22"/>
      <c r="BN14" s="21"/>
      <c r="BP14" s="20" t="s">
        <v>6</v>
      </c>
      <c r="BQ14" s="22"/>
      <c r="BR14" s="22"/>
      <c r="BS14" s="22"/>
      <c r="BT14" s="21"/>
    </row>
    <row r="15" spans="1:72" ht="24.95" customHeight="1" x14ac:dyDescent="0.25">
      <c r="A15" s="28"/>
      <c r="B15" s="7" t="s">
        <v>7</v>
      </c>
      <c r="C15" s="24" t="s">
        <v>8</v>
      </c>
      <c r="D15" s="25"/>
      <c r="E15" s="7" t="s">
        <v>9</v>
      </c>
      <c r="F15" s="7" t="s">
        <v>10</v>
      </c>
      <c r="G15" s="8"/>
      <c r="H15" s="9" t="s">
        <v>11</v>
      </c>
      <c r="I15" s="9" t="s">
        <v>12</v>
      </c>
      <c r="J15" s="9" t="s">
        <v>13</v>
      </c>
      <c r="K15" s="9" t="s">
        <v>14</v>
      </c>
      <c r="L15" s="9" t="s">
        <v>15</v>
      </c>
      <c r="N15" s="9" t="s">
        <v>11</v>
      </c>
      <c r="O15" s="9" t="s">
        <v>12</v>
      </c>
      <c r="P15" s="9" t="s">
        <v>13</v>
      </c>
      <c r="Q15" s="9" t="s">
        <v>14</v>
      </c>
      <c r="R15" s="9" t="s">
        <v>15</v>
      </c>
      <c r="T15" s="9" t="s">
        <v>11</v>
      </c>
      <c r="U15" s="9" t="s">
        <v>12</v>
      </c>
      <c r="V15" s="9" t="s">
        <v>13</v>
      </c>
      <c r="W15" s="9" t="s">
        <v>14</v>
      </c>
      <c r="X15" s="9" t="s">
        <v>15</v>
      </c>
      <c r="Z15" s="9" t="s">
        <v>11</v>
      </c>
      <c r="AA15" s="9" t="s">
        <v>12</v>
      </c>
      <c r="AB15" s="9" t="s">
        <v>13</v>
      </c>
      <c r="AC15" s="9" t="s">
        <v>14</v>
      </c>
      <c r="AD15" s="9" t="s">
        <v>15</v>
      </c>
      <c r="AF15" s="9" t="s">
        <v>11</v>
      </c>
      <c r="AG15" s="9" t="s">
        <v>12</v>
      </c>
      <c r="AH15" s="9" t="s">
        <v>13</v>
      </c>
      <c r="AI15" s="9" t="s">
        <v>14</v>
      </c>
      <c r="AJ15" s="9" t="s">
        <v>15</v>
      </c>
      <c r="AL15" s="9" t="s">
        <v>11</v>
      </c>
      <c r="AM15" s="9" t="s">
        <v>12</v>
      </c>
      <c r="AN15" s="9" t="s">
        <v>13</v>
      </c>
      <c r="AO15" s="9" t="s">
        <v>14</v>
      </c>
      <c r="AP15" s="9" t="s">
        <v>15</v>
      </c>
      <c r="AR15" s="9" t="s">
        <v>11</v>
      </c>
      <c r="AS15" s="9" t="s">
        <v>12</v>
      </c>
      <c r="AT15" s="9" t="s">
        <v>13</v>
      </c>
      <c r="AU15" s="9" t="s">
        <v>14</v>
      </c>
      <c r="AV15" s="9" t="s">
        <v>15</v>
      </c>
      <c r="AX15" s="9" t="s">
        <v>11</v>
      </c>
      <c r="AY15" s="9" t="s">
        <v>12</v>
      </c>
      <c r="AZ15" s="9" t="s">
        <v>13</v>
      </c>
      <c r="BA15" s="9" t="s">
        <v>14</v>
      </c>
      <c r="BB15" s="9" t="s">
        <v>15</v>
      </c>
      <c r="BD15" s="9" t="s">
        <v>11</v>
      </c>
      <c r="BE15" s="9" t="s">
        <v>12</v>
      </c>
      <c r="BF15" s="9" t="s">
        <v>13</v>
      </c>
      <c r="BG15" s="9" t="s">
        <v>14</v>
      </c>
      <c r="BH15" s="9" t="s">
        <v>15</v>
      </c>
      <c r="BJ15" s="9" t="s">
        <v>11</v>
      </c>
      <c r="BK15" s="9" t="s">
        <v>12</v>
      </c>
      <c r="BL15" s="9" t="s">
        <v>13</v>
      </c>
      <c r="BM15" s="9" t="s">
        <v>14</v>
      </c>
      <c r="BN15" s="9" t="s">
        <v>15</v>
      </c>
      <c r="BP15" s="9" t="s">
        <v>11</v>
      </c>
      <c r="BQ15" s="9" t="s">
        <v>12</v>
      </c>
      <c r="BR15" s="9" t="s">
        <v>13</v>
      </c>
      <c r="BS15" s="9" t="s">
        <v>14</v>
      </c>
      <c r="BT15" s="9" t="s">
        <v>15</v>
      </c>
    </row>
    <row r="16" spans="1:72" s="11" customFormat="1" ht="24.95" customHeight="1" x14ac:dyDescent="0.25">
      <c r="A16" s="28"/>
      <c r="B16" s="10">
        <v>9</v>
      </c>
      <c r="C16" s="26" t="s">
        <v>29</v>
      </c>
      <c r="D16" s="27"/>
      <c r="E16" s="10" t="s">
        <v>19</v>
      </c>
      <c r="F16" s="10">
        <v>6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T16" s="12">
        <v>10</v>
      </c>
      <c r="U16" s="12">
        <v>3</v>
      </c>
      <c r="V16" s="12">
        <v>1</v>
      </c>
      <c r="W16" s="12">
        <v>1</v>
      </c>
      <c r="X16" s="12">
        <v>1</v>
      </c>
      <c r="Z16" s="12">
        <v>6</v>
      </c>
      <c r="AA16" s="12">
        <v>5</v>
      </c>
      <c r="AB16" s="12">
        <v>1</v>
      </c>
      <c r="AC16" s="12">
        <v>2</v>
      </c>
      <c r="AD16" s="12"/>
      <c r="AF16" s="12">
        <v>8</v>
      </c>
      <c r="AG16" s="12">
        <v>8</v>
      </c>
      <c r="AH16" s="12">
        <v>1</v>
      </c>
      <c r="AI16" s="12">
        <v>2</v>
      </c>
      <c r="AJ16" s="12">
        <v>1</v>
      </c>
      <c r="AL16" s="12">
        <v>8</v>
      </c>
      <c r="AM16" s="12">
        <v>4</v>
      </c>
      <c r="AN16" s="12"/>
      <c r="AO16" s="12">
        <v>1</v>
      </c>
      <c r="AP16" s="12"/>
      <c r="AR16" s="12">
        <v>4</v>
      </c>
      <c r="AS16" s="12">
        <v>5</v>
      </c>
      <c r="AT16" s="12"/>
      <c r="AU16" s="12"/>
      <c r="AV16" s="12"/>
      <c r="AX16" s="12"/>
      <c r="AY16" s="12"/>
      <c r="AZ16" s="12"/>
      <c r="BA16" s="12"/>
      <c r="BB16" s="12"/>
      <c r="BD16" s="12">
        <v>6</v>
      </c>
      <c r="BE16" s="12">
        <v>11</v>
      </c>
      <c r="BF16" s="12"/>
      <c r="BG16" s="12"/>
      <c r="BH16" s="12"/>
      <c r="BJ16" s="12">
        <f>H16+N16+T16+Z16+AF16+AL16+AR16+AX16+BD16</f>
        <v>42</v>
      </c>
      <c r="BK16" s="12">
        <f t="shared" ref="BK16:BN23" si="10">I16+O16+U16+AA16+AG16+AM16+AS16+AY16+BE16</f>
        <v>36</v>
      </c>
      <c r="BL16" s="12">
        <f t="shared" si="10"/>
        <v>3</v>
      </c>
      <c r="BM16" s="12">
        <f t="shared" si="10"/>
        <v>6</v>
      </c>
      <c r="BN16" s="12">
        <f t="shared" si="10"/>
        <v>2</v>
      </c>
      <c r="BP16" s="13">
        <f t="shared" ref="BP16:BP23" si="11">BJ16/F16</f>
        <v>7</v>
      </c>
      <c r="BQ16" s="13">
        <f t="shared" ref="BQ16:BQ23" si="12">BK16/F16</f>
        <v>6</v>
      </c>
      <c r="BR16" s="13">
        <f t="shared" ref="BR16:BR23" si="13">BL16/F16</f>
        <v>0.5</v>
      </c>
      <c r="BS16" s="13">
        <f t="shared" ref="BS16:BS23" si="14">BM16/F16</f>
        <v>1</v>
      </c>
      <c r="BT16" s="13">
        <f t="shared" ref="BT16:BT23" si="15">BN16/F16</f>
        <v>0.33333333333333331</v>
      </c>
    </row>
    <row r="17" spans="1:72" s="11" customFormat="1" ht="24.95" customHeight="1" x14ac:dyDescent="0.25">
      <c r="A17" s="28"/>
      <c r="B17" s="10">
        <v>4</v>
      </c>
      <c r="C17" s="26" t="s">
        <v>30</v>
      </c>
      <c r="D17" s="27"/>
      <c r="E17" s="10" t="s">
        <v>17</v>
      </c>
      <c r="F17" s="10">
        <v>8</v>
      </c>
      <c r="H17" s="12">
        <v>4</v>
      </c>
      <c r="I17" s="12">
        <v>8</v>
      </c>
      <c r="J17" s="12">
        <v>1</v>
      </c>
      <c r="K17" s="12">
        <v>1</v>
      </c>
      <c r="L17" s="12">
        <v>0</v>
      </c>
      <c r="N17" s="12">
        <v>8</v>
      </c>
      <c r="O17" s="12">
        <v>3</v>
      </c>
      <c r="P17" s="12">
        <v>0</v>
      </c>
      <c r="Q17" s="12">
        <v>1</v>
      </c>
      <c r="R17" s="12">
        <v>0</v>
      </c>
      <c r="T17" s="12">
        <v>17</v>
      </c>
      <c r="U17" s="12">
        <v>7</v>
      </c>
      <c r="V17" s="12">
        <v>1</v>
      </c>
      <c r="W17" s="12">
        <v>2</v>
      </c>
      <c r="X17" s="12"/>
      <c r="Z17" s="12">
        <v>13</v>
      </c>
      <c r="AA17" s="12">
        <v>5</v>
      </c>
      <c r="AB17" s="12">
        <v>1</v>
      </c>
      <c r="AC17" s="12">
        <v>1</v>
      </c>
      <c r="AD17" s="12"/>
      <c r="AF17" s="12">
        <v>12</v>
      </c>
      <c r="AG17" s="12">
        <v>2</v>
      </c>
      <c r="AH17" s="12"/>
      <c r="AI17" s="12">
        <v>1</v>
      </c>
      <c r="AJ17" s="12"/>
      <c r="AL17" s="12">
        <v>14</v>
      </c>
      <c r="AM17" s="12">
        <v>5</v>
      </c>
      <c r="AN17" s="12">
        <v>2</v>
      </c>
      <c r="AO17" s="12">
        <v>1</v>
      </c>
      <c r="AP17" s="12"/>
      <c r="AR17" s="12">
        <v>16</v>
      </c>
      <c r="AS17" s="12">
        <v>4</v>
      </c>
      <c r="AT17" s="12">
        <v>1</v>
      </c>
      <c r="AU17" s="12"/>
      <c r="AV17" s="12"/>
      <c r="AX17" s="12"/>
      <c r="AY17" s="12"/>
      <c r="AZ17" s="12"/>
      <c r="BA17" s="12"/>
      <c r="BB17" s="12"/>
      <c r="BD17" s="12">
        <v>20</v>
      </c>
      <c r="BE17" s="12">
        <v>9</v>
      </c>
      <c r="BF17" s="12">
        <v>2</v>
      </c>
      <c r="BG17" s="12"/>
      <c r="BH17" s="12"/>
      <c r="BJ17" s="12">
        <f t="shared" ref="BJ17:BJ23" si="16">H17+N17+T17+Z17+AF17+AL17+AR17+AX17+BD17</f>
        <v>104</v>
      </c>
      <c r="BK17" s="12">
        <f t="shared" si="10"/>
        <v>43</v>
      </c>
      <c r="BL17" s="12">
        <f t="shared" si="10"/>
        <v>8</v>
      </c>
      <c r="BM17" s="12">
        <f t="shared" si="10"/>
        <v>7</v>
      </c>
      <c r="BN17" s="12">
        <f t="shared" si="10"/>
        <v>0</v>
      </c>
      <c r="BP17" s="13">
        <f t="shared" si="11"/>
        <v>13</v>
      </c>
      <c r="BQ17" s="13">
        <f t="shared" si="12"/>
        <v>5.375</v>
      </c>
      <c r="BR17" s="13">
        <f t="shared" si="13"/>
        <v>1</v>
      </c>
      <c r="BS17" s="13">
        <f t="shared" si="14"/>
        <v>0.875</v>
      </c>
      <c r="BT17" s="13">
        <f t="shared" si="15"/>
        <v>0</v>
      </c>
    </row>
    <row r="18" spans="1:72" s="11" customFormat="1" ht="24.95" customHeight="1" x14ac:dyDescent="0.25">
      <c r="A18" s="28"/>
      <c r="B18" s="10">
        <v>15</v>
      </c>
      <c r="C18" s="26" t="s">
        <v>51</v>
      </c>
      <c r="D18" s="27"/>
      <c r="E18" s="10" t="s">
        <v>23</v>
      </c>
      <c r="F18" s="10">
        <v>6</v>
      </c>
      <c r="H18" s="12">
        <v>0</v>
      </c>
      <c r="I18" s="12">
        <v>1</v>
      </c>
      <c r="J18" s="12">
        <v>0</v>
      </c>
      <c r="K18" s="12">
        <v>0</v>
      </c>
      <c r="L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T18" s="15">
        <v>2</v>
      </c>
      <c r="U18" s="15">
        <v>1</v>
      </c>
      <c r="V18" s="15"/>
      <c r="W18" s="15">
        <v>3</v>
      </c>
      <c r="X18" s="15"/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F18" s="12"/>
      <c r="AG18" s="12"/>
      <c r="AH18" s="12"/>
      <c r="AI18" s="12"/>
      <c r="AJ18" s="12"/>
      <c r="AL18" s="12">
        <v>2</v>
      </c>
      <c r="AM18" s="12">
        <v>4</v>
      </c>
      <c r="AN18" s="12">
        <v>2</v>
      </c>
      <c r="AO18" s="12">
        <v>4</v>
      </c>
      <c r="AP18" s="12">
        <v>1</v>
      </c>
      <c r="AR18" s="12">
        <v>2</v>
      </c>
      <c r="AS18" s="12">
        <v>2</v>
      </c>
      <c r="AT18" s="12"/>
      <c r="AU18" s="12">
        <v>1</v>
      </c>
      <c r="AV18" s="12"/>
      <c r="AX18" s="12"/>
      <c r="AY18" s="12"/>
      <c r="AZ18" s="12"/>
      <c r="BA18" s="12"/>
      <c r="BB18" s="12"/>
      <c r="BD18" s="12"/>
      <c r="BE18" s="12">
        <v>3</v>
      </c>
      <c r="BF18" s="12">
        <v>1</v>
      </c>
      <c r="BG18" s="12"/>
      <c r="BH18" s="12"/>
      <c r="BJ18" s="12">
        <f t="shared" si="16"/>
        <v>6</v>
      </c>
      <c r="BK18" s="12">
        <f t="shared" si="10"/>
        <v>11</v>
      </c>
      <c r="BL18" s="12">
        <f t="shared" si="10"/>
        <v>3</v>
      </c>
      <c r="BM18" s="12">
        <f t="shared" si="10"/>
        <v>8</v>
      </c>
      <c r="BN18" s="12">
        <f t="shared" si="10"/>
        <v>1</v>
      </c>
      <c r="BP18" s="13">
        <f t="shared" si="11"/>
        <v>1</v>
      </c>
      <c r="BQ18" s="13">
        <f t="shared" si="12"/>
        <v>1.8333333333333333</v>
      </c>
      <c r="BR18" s="13">
        <f t="shared" si="13"/>
        <v>0.5</v>
      </c>
      <c r="BS18" s="13">
        <f t="shared" si="14"/>
        <v>1.3333333333333333</v>
      </c>
      <c r="BT18" s="13">
        <f t="shared" si="15"/>
        <v>0.16666666666666666</v>
      </c>
    </row>
    <row r="19" spans="1:72" s="11" customFormat="1" ht="24.95" customHeight="1" x14ac:dyDescent="0.25">
      <c r="A19" s="28"/>
      <c r="B19" s="10">
        <v>6</v>
      </c>
      <c r="C19" s="26" t="s">
        <v>52</v>
      </c>
      <c r="D19" s="27"/>
      <c r="E19" s="10" t="s">
        <v>21</v>
      </c>
      <c r="F19" s="10">
        <v>6</v>
      </c>
      <c r="H19" s="12">
        <v>2</v>
      </c>
      <c r="I19" s="12">
        <v>0</v>
      </c>
      <c r="J19" s="12">
        <v>1</v>
      </c>
      <c r="K19" s="12">
        <v>0</v>
      </c>
      <c r="L19" s="12">
        <v>0</v>
      </c>
      <c r="N19" s="12">
        <v>6</v>
      </c>
      <c r="O19" s="12">
        <v>3</v>
      </c>
      <c r="P19" s="12">
        <v>2</v>
      </c>
      <c r="Q19" s="12">
        <v>1</v>
      </c>
      <c r="R19" s="12">
        <v>0</v>
      </c>
      <c r="T19" s="15">
        <v>2</v>
      </c>
      <c r="U19" s="15">
        <v>2</v>
      </c>
      <c r="V19" s="15"/>
      <c r="W19" s="15">
        <v>4</v>
      </c>
      <c r="X19" s="15"/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F19" s="12"/>
      <c r="AG19" s="12"/>
      <c r="AH19" s="12"/>
      <c r="AI19" s="12"/>
      <c r="AJ19" s="12"/>
      <c r="AL19" s="14"/>
      <c r="AM19" s="14"/>
      <c r="AN19" s="14"/>
      <c r="AO19" s="14"/>
      <c r="AP19" s="14"/>
      <c r="AR19" s="14"/>
      <c r="AS19" s="14"/>
      <c r="AT19" s="14"/>
      <c r="AU19" s="14"/>
      <c r="AV19" s="14"/>
      <c r="AX19" s="12"/>
      <c r="AY19" s="12"/>
      <c r="AZ19" s="12"/>
      <c r="BA19" s="12"/>
      <c r="BB19" s="12"/>
      <c r="BD19" s="12">
        <v>11</v>
      </c>
      <c r="BE19" s="12"/>
      <c r="BF19" s="12">
        <v>4</v>
      </c>
      <c r="BG19" s="12"/>
      <c r="BH19" s="12"/>
      <c r="BJ19" s="12">
        <f t="shared" si="16"/>
        <v>21</v>
      </c>
      <c r="BK19" s="12">
        <f t="shared" si="10"/>
        <v>5</v>
      </c>
      <c r="BL19" s="12">
        <f t="shared" si="10"/>
        <v>7</v>
      </c>
      <c r="BM19" s="12">
        <f t="shared" si="10"/>
        <v>5</v>
      </c>
      <c r="BN19" s="12">
        <f t="shared" si="10"/>
        <v>0</v>
      </c>
      <c r="BP19" s="13">
        <f t="shared" si="11"/>
        <v>3.5</v>
      </c>
      <c r="BQ19" s="13">
        <f t="shared" si="12"/>
        <v>0.83333333333333337</v>
      </c>
      <c r="BR19" s="13">
        <f t="shared" si="13"/>
        <v>1.1666666666666667</v>
      </c>
      <c r="BS19" s="13">
        <f t="shared" si="14"/>
        <v>0.83333333333333337</v>
      </c>
      <c r="BT19" s="13">
        <f t="shared" si="15"/>
        <v>0</v>
      </c>
    </row>
    <row r="20" spans="1:72" s="11" customFormat="1" ht="24.95" customHeight="1" x14ac:dyDescent="0.25">
      <c r="A20" s="28"/>
      <c r="B20" s="10">
        <v>20</v>
      </c>
      <c r="C20" s="26" t="s">
        <v>54</v>
      </c>
      <c r="D20" s="27"/>
      <c r="E20" s="10" t="s">
        <v>17</v>
      </c>
      <c r="F20" s="10">
        <v>4</v>
      </c>
      <c r="H20" s="12">
        <v>3</v>
      </c>
      <c r="I20" s="12">
        <v>7</v>
      </c>
      <c r="J20" s="12">
        <v>0</v>
      </c>
      <c r="K20" s="12">
        <v>0</v>
      </c>
      <c r="L20" s="12">
        <v>0</v>
      </c>
      <c r="N20" s="12">
        <v>3</v>
      </c>
      <c r="O20" s="12">
        <v>4</v>
      </c>
      <c r="P20" s="12">
        <v>0</v>
      </c>
      <c r="Q20" s="12">
        <v>0</v>
      </c>
      <c r="R20" s="12">
        <v>0</v>
      </c>
      <c r="T20" s="17"/>
      <c r="U20" s="17"/>
      <c r="V20" s="17"/>
      <c r="W20" s="17"/>
      <c r="X20" s="17"/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F20" s="12"/>
      <c r="AG20" s="12"/>
      <c r="AH20" s="12"/>
      <c r="AI20" s="12"/>
      <c r="AJ20" s="12"/>
      <c r="AL20" s="12">
        <v>7</v>
      </c>
      <c r="AM20" s="12">
        <v>4</v>
      </c>
      <c r="AN20" s="12"/>
      <c r="AO20" s="12">
        <v>3</v>
      </c>
      <c r="AP20" s="12"/>
      <c r="AR20" s="12">
        <v>8</v>
      </c>
      <c r="AS20" s="12">
        <v>4</v>
      </c>
      <c r="AT20" s="12"/>
      <c r="AU20" s="12">
        <v>1</v>
      </c>
      <c r="AV20" s="12"/>
      <c r="AX20" s="12"/>
      <c r="AY20" s="12"/>
      <c r="AZ20" s="12"/>
      <c r="BA20" s="12"/>
      <c r="BB20" s="12"/>
      <c r="BD20" s="14"/>
      <c r="BE20" s="14"/>
      <c r="BF20" s="14"/>
      <c r="BG20" s="14"/>
      <c r="BH20" s="14"/>
      <c r="BJ20" s="12">
        <f t="shared" si="16"/>
        <v>21</v>
      </c>
      <c r="BK20" s="12">
        <f t="shared" si="10"/>
        <v>19</v>
      </c>
      <c r="BL20" s="12">
        <f t="shared" si="10"/>
        <v>0</v>
      </c>
      <c r="BM20" s="12">
        <f t="shared" si="10"/>
        <v>4</v>
      </c>
      <c r="BN20" s="12">
        <f t="shared" si="10"/>
        <v>0</v>
      </c>
      <c r="BP20" s="13">
        <f t="shared" si="11"/>
        <v>5.25</v>
      </c>
      <c r="BQ20" s="13">
        <f t="shared" si="12"/>
        <v>4.75</v>
      </c>
      <c r="BR20" s="13">
        <f t="shared" si="13"/>
        <v>0</v>
      </c>
      <c r="BS20" s="13">
        <f t="shared" si="14"/>
        <v>1</v>
      </c>
      <c r="BT20" s="13">
        <f t="shared" si="15"/>
        <v>0</v>
      </c>
    </row>
    <row r="21" spans="1:72" s="11" customFormat="1" ht="24.95" customHeight="1" x14ac:dyDescent="0.25">
      <c r="A21" s="28"/>
      <c r="B21" s="10">
        <v>19</v>
      </c>
      <c r="C21" s="26" t="s">
        <v>31</v>
      </c>
      <c r="D21" s="27"/>
      <c r="E21" s="10" t="s">
        <v>25</v>
      </c>
      <c r="F21" s="10">
        <v>6</v>
      </c>
      <c r="H21" s="12">
        <v>4</v>
      </c>
      <c r="I21" s="12">
        <v>7</v>
      </c>
      <c r="J21" s="12">
        <v>1</v>
      </c>
      <c r="K21" s="12">
        <v>2</v>
      </c>
      <c r="L21" s="12">
        <v>0</v>
      </c>
      <c r="N21" s="12">
        <v>2</v>
      </c>
      <c r="O21" s="12">
        <v>4</v>
      </c>
      <c r="P21" s="12">
        <v>0</v>
      </c>
      <c r="Q21" s="12">
        <v>1</v>
      </c>
      <c r="R21" s="12">
        <v>0</v>
      </c>
      <c r="T21" s="14"/>
      <c r="U21" s="14"/>
      <c r="V21" s="14"/>
      <c r="W21" s="14"/>
      <c r="X21" s="14"/>
      <c r="Z21" s="12">
        <v>10</v>
      </c>
      <c r="AA21" s="12">
        <v>4</v>
      </c>
      <c r="AB21" s="12"/>
      <c r="AC21" s="12">
        <v>2</v>
      </c>
      <c r="AD21" s="12"/>
      <c r="AF21" s="12">
        <v>8</v>
      </c>
      <c r="AG21" s="12">
        <v>2</v>
      </c>
      <c r="AH21" s="12"/>
      <c r="AI21" s="12">
        <v>2</v>
      </c>
      <c r="AJ21" s="12">
        <v>1</v>
      </c>
      <c r="AL21" s="12">
        <v>4</v>
      </c>
      <c r="AM21" s="12">
        <v>3</v>
      </c>
      <c r="AN21" s="12">
        <v>2</v>
      </c>
      <c r="AO21" s="12">
        <v>2</v>
      </c>
      <c r="AP21" s="12"/>
      <c r="AR21" s="12">
        <v>6</v>
      </c>
      <c r="AS21" s="12">
        <v>1</v>
      </c>
      <c r="AT21" s="12">
        <v>1</v>
      </c>
      <c r="AU21" s="12">
        <v>1</v>
      </c>
      <c r="AV21" s="12"/>
      <c r="AX21" s="12"/>
      <c r="AY21" s="12"/>
      <c r="AZ21" s="12"/>
      <c r="BA21" s="12"/>
      <c r="BB21" s="12"/>
      <c r="BD21" s="14"/>
      <c r="BE21" s="14"/>
      <c r="BF21" s="14"/>
      <c r="BG21" s="14"/>
      <c r="BH21" s="14"/>
      <c r="BJ21" s="12">
        <f t="shared" si="16"/>
        <v>34</v>
      </c>
      <c r="BK21" s="12">
        <f t="shared" si="10"/>
        <v>21</v>
      </c>
      <c r="BL21" s="12">
        <f t="shared" si="10"/>
        <v>4</v>
      </c>
      <c r="BM21" s="12">
        <f t="shared" si="10"/>
        <v>10</v>
      </c>
      <c r="BN21" s="12">
        <f t="shared" si="10"/>
        <v>1</v>
      </c>
      <c r="BP21" s="13">
        <f t="shared" si="11"/>
        <v>5.666666666666667</v>
      </c>
      <c r="BQ21" s="13">
        <f t="shared" si="12"/>
        <v>3.5</v>
      </c>
      <c r="BR21" s="13">
        <f t="shared" si="13"/>
        <v>0.66666666666666663</v>
      </c>
      <c r="BS21" s="13">
        <f t="shared" si="14"/>
        <v>1.6666666666666667</v>
      </c>
      <c r="BT21" s="13">
        <f t="shared" si="15"/>
        <v>0.16666666666666666</v>
      </c>
    </row>
    <row r="22" spans="1:72" s="11" customFormat="1" ht="25.15" customHeight="1" x14ac:dyDescent="0.25">
      <c r="A22" s="28"/>
      <c r="B22" s="10">
        <v>9</v>
      </c>
      <c r="C22" s="26" t="s">
        <v>32</v>
      </c>
      <c r="D22" s="27"/>
      <c r="E22" s="10" t="s">
        <v>17</v>
      </c>
      <c r="F22" s="10">
        <v>7</v>
      </c>
      <c r="H22" s="12">
        <v>8</v>
      </c>
      <c r="I22" s="12">
        <v>9</v>
      </c>
      <c r="J22" s="12">
        <v>1</v>
      </c>
      <c r="K22" s="12">
        <v>1</v>
      </c>
      <c r="L22" s="12">
        <v>0</v>
      </c>
      <c r="N22" s="12">
        <v>7</v>
      </c>
      <c r="O22" s="12">
        <v>1</v>
      </c>
      <c r="P22" s="12">
        <v>4</v>
      </c>
      <c r="Q22" s="12">
        <v>0</v>
      </c>
      <c r="R22" s="12">
        <v>1</v>
      </c>
      <c r="T22" s="12">
        <v>12</v>
      </c>
      <c r="U22" s="12">
        <v>5</v>
      </c>
      <c r="V22" s="12">
        <v>1</v>
      </c>
      <c r="W22" s="12"/>
      <c r="X22" s="12"/>
      <c r="Z22" s="12">
        <v>2</v>
      </c>
      <c r="AA22" s="12">
        <v>8</v>
      </c>
      <c r="AB22" s="12">
        <v>4</v>
      </c>
      <c r="AC22" s="12">
        <v>4</v>
      </c>
      <c r="AD22" s="12"/>
      <c r="AF22" s="12">
        <v>14</v>
      </c>
      <c r="AG22" s="12">
        <v>6</v>
      </c>
      <c r="AH22" s="12"/>
      <c r="AI22" s="12">
        <v>2</v>
      </c>
      <c r="AJ22" s="12"/>
      <c r="AL22" s="14"/>
      <c r="AM22" s="14"/>
      <c r="AN22" s="14"/>
      <c r="AO22" s="14"/>
      <c r="AP22" s="14"/>
      <c r="AR22" s="14"/>
      <c r="AS22" s="14"/>
      <c r="AT22" s="14"/>
      <c r="AU22" s="14"/>
      <c r="AV22" s="14"/>
      <c r="AX22" s="12"/>
      <c r="AY22" s="12"/>
      <c r="AZ22" s="12"/>
      <c r="BA22" s="12"/>
      <c r="BB22" s="12"/>
      <c r="BD22" s="14"/>
      <c r="BE22" s="14"/>
      <c r="BF22" s="14"/>
      <c r="BG22" s="14"/>
      <c r="BH22" s="14"/>
      <c r="BJ22" s="12">
        <f t="shared" si="16"/>
        <v>43</v>
      </c>
      <c r="BK22" s="12">
        <f t="shared" si="10"/>
        <v>29</v>
      </c>
      <c r="BL22" s="12">
        <f t="shared" si="10"/>
        <v>10</v>
      </c>
      <c r="BM22" s="12">
        <f t="shared" si="10"/>
        <v>7</v>
      </c>
      <c r="BN22" s="12">
        <f t="shared" si="10"/>
        <v>1</v>
      </c>
      <c r="BP22" s="13">
        <f t="shared" si="11"/>
        <v>6.1428571428571432</v>
      </c>
      <c r="BQ22" s="13">
        <f t="shared" si="12"/>
        <v>4.1428571428571432</v>
      </c>
      <c r="BR22" s="13">
        <f t="shared" si="13"/>
        <v>1.4285714285714286</v>
      </c>
      <c r="BS22" s="13">
        <f t="shared" si="14"/>
        <v>1</v>
      </c>
      <c r="BT22" s="13">
        <f t="shared" si="15"/>
        <v>0.14285714285714285</v>
      </c>
    </row>
    <row r="23" spans="1:72" s="11" customFormat="1" ht="24.95" customHeight="1" x14ac:dyDescent="0.25">
      <c r="A23" s="28"/>
      <c r="B23" s="10">
        <v>55</v>
      </c>
      <c r="C23" s="26" t="s">
        <v>33</v>
      </c>
      <c r="D23" s="27"/>
      <c r="E23" s="10" t="s">
        <v>17</v>
      </c>
      <c r="F23" s="10">
        <v>4</v>
      </c>
      <c r="H23" s="12">
        <v>0</v>
      </c>
      <c r="I23" s="12">
        <v>3</v>
      </c>
      <c r="J23" s="12">
        <v>0</v>
      </c>
      <c r="K23" s="12">
        <v>0</v>
      </c>
      <c r="L23" s="12">
        <v>0</v>
      </c>
      <c r="N23" s="12">
        <v>0</v>
      </c>
      <c r="O23" s="12">
        <v>2</v>
      </c>
      <c r="P23" s="12">
        <v>0</v>
      </c>
      <c r="Q23" s="12">
        <v>0</v>
      </c>
      <c r="R23" s="12">
        <v>1</v>
      </c>
      <c r="T23" s="15"/>
      <c r="U23" s="15">
        <v>1</v>
      </c>
      <c r="V23" s="15"/>
      <c r="W23" s="15"/>
      <c r="X23" s="15"/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F23" s="12"/>
      <c r="AG23" s="12"/>
      <c r="AH23" s="12"/>
      <c r="AI23" s="12"/>
      <c r="AJ23" s="12"/>
      <c r="AL23" s="14"/>
      <c r="AM23" s="14"/>
      <c r="AN23" s="14"/>
      <c r="AO23" s="14"/>
      <c r="AP23" s="14"/>
      <c r="AR23" s="14"/>
      <c r="AS23" s="14"/>
      <c r="AT23" s="14"/>
      <c r="AU23" s="14"/>
      <c r="AV23" s="14"/>
      <c r="AX23" s="12"/>
      <c r="AY23" s="12"/>
      <c r="AZ23" s="12"/>
      <c r="BA23" s="12"/>
      <c r="BB23" s="12"/>
      <c r="BD23" s="12">
        <v>5</v>
      </c>
      <c r="BE23" s="12">
        <v>4</v>
      </c>
      <c r="BF23" s="12"/>
      <c r="BG23" s="12"/>
      <c r="BH23" s="12"/>
      <c r="BJ23" s="12">
        <f t="shared" si="16"/>
        <v>5</v>
      </c>
      <c r="BK23" s="12">
        <f t="shared" si="10"/>
        <v>10</v>
      </c>
      <c r="BL23" s="12">
        <f t="shared" si="10"/>
        <v>0</v>
      </c>
      <c r="BM23" s="12">
        <f t="shared" si="10"/>
        <v>0</v>
      </c>
      <c r="BN23" s="12">
        <f t="shared" si="10"/>
        <v>1</v>
      </c>
      <c r="BP23" s="13">
        <f t="shared" si="11"/>
        <v>1.25</v>
      </c>
      <c r="BQ23" s="13">
        <f t="shared" si="12"/>
        <v>2.5</v>
      </c>
      <c r="BR23" s="13">
        <f t="shared" si="13"/>
        <v>0</v>
      </c>
      <c r="BS23" s="13">
        <f t="shared" si="14"/>
        <v>0</v>
      </c>
      <c r="BT23" s="13">
        <f t="shared" si="15"/>
        <v>0.25</v>
      </c>
    </row>
    <row r="24" spans="1:72" x14ac:dyDescent="0.25">
      <c r="H24" s="2">
        <f>SUM(H16:H23)</f>
        <v>21</v>
      </c>
      <c r="I24" s="2">
        <f t="shared" ref="I24:X24" si="17">SUM(I16:I23)</f>
        <v>35</v>
      </c>
      <c r="J24" s="2">
        <f t="shared" si="17"/>
        <v>4</v>
      </c>
      <c r="K24" s="2">
        <f t="shared" si="17"/>
        <v>4</v>
      </c>
      <c r="L24" s="2">
        <f t="shared" si="17"/>
        <v>0</v>
      </c>
      <c r="M24" s="2"/>
      <c r="N24" s="2">
        <f t="shared" si="17"/>
        <v>26</v>
      </c>
      <c r="O24" s="2">
        <f t="shared" si="17"/>
        <v>17</v>
      </c>
      <c r="P24" s="2">
        <f t="shared" si="17"/>
        <v>6</v>
      </c>
      <c r="Q24" s="2">
        <f t="shared" si="17"/>
        <v>3</v>
      </c>
      <c r="R24" s="2">
        <f t="shared" si="17"/>
        <v>2</v>
      </c>
      <c r="S24" s="2"/>
      <c r="T24" s="2">
        <f t="shared" si="17"/>
        <v>43</v>
      </c>
      <c r="U24" s="2">
        <f t="shared" si="17"/>
        <v>19</v>
      </c>
      <c r="V24" s="2">
        <f t="shared" si="17"/>
        <v>3</v>
      </c>
      <c r="W24" s="2">
        <f t="shared" si="17"/>
        <v>10</v>
      </c>
      <c r="X24" s="2">
        <f t="shared" si="17"/>
        <v>1</v>
      </c>
      <c r="Z24" s="2">
        <f>SUM(Z16:Z23)</f>
        <v>31</v>
      </c>
      <c r="AA24" s="2">
        <f t="shared" ref="AA24:AD24" si="18">SUM(AA16:AA23)</f>
        <v>22</v>
      </c>
      <c r="AB24" s="2">
        <f t="shared" si="18"/>
        <v>6</v>
      </c>
      <c r="AC24" s="2">
        <f t="shared" si="18"/>
        <v>9</v>
      </c>
      <c r="AD24" s="2">
        <f t="shared" si="18"/>
        <v>0</v>
      </c>
      <c r="AE24" s="2"/>
      <c r="AF24" s="2">
        <f t="shared" ref="AF24:BH24" si="19">SUM(AF16:AF23)</f>
        <v>42</v>
      </c>
      <c r="AG24" s="2">
        <f t="shared" si="19"/>
        <v>18</v>
      </c>
      <c r="AH24" s="2">
        <f t="shared" si="19"/>
        <v>1</v>
      </c>
      <c r="AI24" s="2">
        <f t="shared" si="19"/>
        <v>7</v>
      </c>
      <c r="AJ24" s="2">
        <f t="shared" si="19"/>
        <v>2</v>
      </c>
      <c r="AK24" s="2"/>
      <c r="AL24" s="2">
        <f t="shared" si="19"/>
        <v>35</v>
      </c>
      <c r="AM24" s="2">
        <f t="shared" si="19"/>
        <v>20</v>
      </c>
      <c r="AN24" s="2">
        <f t="shared" si="19"/>
        <v>6</v>
      </c>
      <c r="AO24" s="2">
        <f t="shared" si="19"/>
        <v>11</v>
      </c>
      <c r="AP24" s="2">
        <f t="shared" si="19"/>
        <v>1</v>
      </c>
      <c r="AQ24" s="2"/>
      <c r="AR24" s="2">
        <f t="shared" si="19"/>
        <v>36</v>
      </c>
      <c r="AS24" s="2">
        <f t="shared" si="19"/>
        <v>16</v>
      </c>
      <c r="AT24" s="2">
        <f t="shared" si="19"/>
        <v>2</v>
      </c>
      <c r="AU24" s="2">
        <f t="shared" si="19"/>
        <v>3</v>
      </c>
      <c r="AV24" s="2">
        <f t="shared" si="19"/>
        <v>0</v>
      </c>
      <c r="AW24" s="2"/>
      <c r="AX24" s="2">
        <f t="shared" si="19"/>
        <v>0</v>
      </c>
      <c r="AY24" s="2">
        <f t="shared" si="19"/>
        <v>0</v>
      </c>
      <c r="AZ24" s="2">
        <f t="shared" si="19"/>
        <v>0</v>
      </c>
      <c r="BA24" s="2">
        <f t="shared" si="19"/>
        <v>0</v>
      </c>
      <c r="BB24" s="2">
        <f t="shared" si="19"/>
        <v>0</v>
      </c>
      <c r="BC24" s="2"/>
      <c r="BD24" s="2">
        <f t="shared" si="19"/>
        <v>42</v>
      </c>
      <c r="BE24" s="2">
        <f t="shared" si="19"/>
        <v>27</v>
      </c>
      <c r="BF24" s="2">
        <f t="shared" si="19"/>
        <v>7</v>
      </c>
      <c r="BG24" s="2">
        <f t="shared" si="19"/>
        <v>0</v>
      </c>
      <c r="BH24" s="2">
        <f t="shared" si="19"/>
        <v>0</v>
      </c>
    </row>
    <row r="26" spans="1:72" ht="18.75" x14ac:dyDescent="0.3">
      <c r="H26" s="3" t="s">
        <v>0</v>
      </c>
      <c r="I26" s="4">
        <v>1</v>
      </c>
      <c r="J26" s="4" t="s">
        <v>1</v>
      </c>
      <c r="K26" s="20" t="s">
        <v>4</v>
      </c>
      <c r="L26" s="21"/>
      <c r="N26" s="3" t="s">
        <v>0</v>
      </c>
      <c r="O26" s="4">
        <v>2</v>
      </c>
      <c r="P26" s="4" t="s">
        <v>1</v>
      </c>
      <c r="Q26" s="20" t="s">
        <v>28</v>
      </c>
      <c r="R26" s="21"/>
      <c r="T26" s="3" t="s">
        <v>0</v>
      </c>
      <c r="U26" s="4">
        <v>3</v>
      </c>
      <c r="V26" s="4" t="s">
        <v>1</v>
      </c>
      <c r="W26" s="20" t="s">
        <v>2</v>
      </c>
      <c r="X26" s="21"/>
      <c r="Z26" s="3" t="s">
        <v>0</v>
      </c>
      <c r="AA26" s="4">
        <v>4</v>
      </c>
      <c r="AB26" s="4" t="s">
        <v>1</v>
      </c>
      <c r="AC26" s="20" t="s">
        <v>4</v>
      </c>
      <c r="AD26" s="21"/>
      <c r="AF26" s="3" t="s">
        <v>0</v>
      </c>
      <c r="AG26" s="4">
        <v>5</v>
      </c>
      <c r="AH26" s="4" t="s">
        <v>1</v>
      </c>
      <c r="AI26" s="20" t="s">
        <v>28</v>
      </c>
      <c r="AJ26" s="21"/>
      <c r="AL26" s="3" t="s">
        <v>0</v>
      </c>
      <c r="AM26" s="4">
        <v>6</v>
      </c>
      <c r="AN26" s="4" t="s">
        <v>1</v>
      </c>
      <c r="AO26" s="20" t="s">
        <v>2</v>
      </c>
      <c r="AP26" s="21"/>
      <c r="AR26" s="3" t="s">
        <v>0</v>
      </c>
      <c r="AS26" s="4">
        <v>7</v>
      </c>
      <c r="AT26" s="4" t="s">
        <v>1</v>
      </c>
      <c r="AU26" s="20" t="s">
        <v>4</v>
      </c>
      <c r="AV26" s="21"/>
      <c r="AX26" s="3" t="s">
        <v>0</v>
      </c>
      <c r="AY26" s="4">
        <v>8</v>
      </c>
      <c r="AZ26" s="4" t="s">
        <v>1</v>
      </c>
      <c r="BA26" s="20" t="s">
        <v>2</v>
      </c>
      <c r="BB26" s="21"/>
      <c r="BD26" s="3" t="s">
        <v>0</v>
      </c>
      <c r="BE26" s="4">
        <v>9</v>
      </c>
      <c r="BF26" s="4" t="s">
        <v>1</v>
      </c>
      <c r="BG26" s="20" t="s">
        <v>28</v>
      </c>
      <c r="BH26" s="21"/>
      <c r="BJ26" s="20" t="s">
        <v>5</v>
      </c>
      <c r="BK26" s="22"/>
      <c r="BL26" s="22"/>
      <c r="BM26" s="22"/>
      <c r="BN26" s="21"/>
      <c r="BP26" s="20" t="s">
        <v>6</v>
      </c>
      <c r="BQ26" s="22"/>
      <c r="BR26" s="22"/>
      <c r="BS26" s="22"/>
      <c r="BT26" s="21"/>
    </row>
    <row r="27" spans="1:72" ht="26.45" customHeight="1" x14ac:dyDescent="0.25">
      <c r="A27" s="29"/>
      <c r="B27" s="7" t="s">
        <v>7</v>
      </c>
      <c r="C27" s="24" t="s">
        <v>8</v>
      </c>
      <c r="D27" s="25"/>
      <c r="E27" s="7" t="s">
        <v>9</v>
      </c>
      <c r="F27" s="7" t="s">
        <v>10</v>
      </c>
      <c r="G27" s="8"/>
      <c r="H27" s="9" t="s">
        <v>11</v>
      </c>
      <c r="I27" s="9" t="s">
        <v>12</v>
      </c>
      <c r="J27" s="9" t="s">
        <v>13</v>
      </c>
      <c r="K27" s="9" t="s">
        <v>14</v>
      </c>
      <c r="L27" s="9" t="s">
        <v>15</v>
      </c>
      <c r="N27" s="9" t="s">
        <v>11</v>
      </c>
      <c r="O27" s="9" t="s">
        <v>12</v>
      </c>
      <c r="P27" s="9" t="s">
        <v>13</v>
      </c>
      <c r="Q27" s="9" t="s">
        <v>14</v>
      </c>
      <c r="R27" s="9" t="s">
        <v>15</v>
      </c>
      <c r="T27" s="9" t="s">
        <v>11</v>
      </c>
      <c r="U27" s="9" t="s">
        <v>12</v>
      </c>
      <c r="V27" s="9" t="s">
        <v>13</v>
      </c>
      <c r="W27" s="9" t="s">
        <v>14</v>
      </c>
      <c r="X27" s="9" t="s">
        <v>15</v>
      </c>
      <c r="Z27" s="9" t="s">
        <v>11</v>
      </c>
      <c r="AA27" s="9" t="s">
        <v>12</v>
      </c>
      <c r="AB27" s="9" t="s">
        <v>13</v>
      </c>
      <c r="AC27" s="9" t="s">
        <v>14</v>
      </c>
      <c r="AD27" s="9" t="s">
        <v>15</v>
      </c>
      <c r="AF27" s="9" t="s">
        <v>11</v>
      </c>
      <c r="AG27" s="9" t="s">
        <v>12</v>
      </c>
      <c r="AH27" s="9" t="s">
        <v>13</v>
      </c>
      <c r="AI27" s="9" t="s">
        <v>14</v>
      </c>
      <c r="AJ27" s="9" t="s">
        <v>15</v>
      </c>
      <c r="AL27" s="9" t="s">
        <v>11</v>
      </c>
      <c r="AM27" s="9" t="s">
        <v>12</v>
      </c>
      <c r="AN27" s="9" t="s">
        <v>13</v>
      </c>
      <c r="AO27" s="9" t="s">
        <v>14</v>
      </c>
      <c r="AP27" s="9" t="s">
        <v>15</v>
      </c>
      <c r="AR27" s="9" t="s">
        <v>11</v>
      </c>
      <c r="AS27" s="9" t="s">
        <v>12</v>
      </c>
      <c r="AT27" s="9" t="s">
        <v>13</v>
      </c>
      <c r="AU27" s="9" t="s">
        <v>14</v>
      </c>
      <c r="AV27" s="9" t="s">
        <v>15</v>
      </c>
      <c r="AX27" s="9" t="s">
        <v>11</v>
      </c>
      <c r="AY27" s="9" t="s">
        <v>12</v>
      </c>
      <c r="AZ27" s="9" t="s">
        <v>13</v>
      </c>
      <c r="BA27" s="9" t="s">
        <v>14</v>
      </c>
      <c r="BB27" s="9" t="s">
        <v>15</v>
      </c>
      <c r="BD27" s="9" t="s">
        <v>11</v>
      </c>
      <c r="BE27" s="9" t="s">
        <v>12</v>
      </c>
      <c r="BF27" s="9" t="s">
        <v>13</v>
      </c>
      <c r="BG27" s="9" t="s">
        <v>14</v>
      </c>
      <c r="BH27" s="9" t="s">
        <v>15</v>
      </c>
      <c r="BJ27" s="9" t="s">
        <v>11</v>
      </c>
      <c r="BK27" s="9" t="s">
        <v>12</v>
      </c>
      <c r="BL27" s="9" t="s">
        <v>13</v>
      </c>
      <c r="BM27" s="9" t="s">
        <v>14</v>
      </c>
      <c r="BN27" s="9" t="s">
        <v>15</v>
      </c>
      <c r="BP27" s="9" t="s">
        <v>11</v>
      </c>
      <c r="BQ27" s="9" t="s">
        <v>12</v>
      </c>
      <c r="BR27" s="9" t="s">
        <v>13</v>
      </c>
      <c r="BS27" s="9" t="s">
        <v>14</v>
      </c>
      <c r="BT27" s="9" t="s">
        <v>15</v>
      </c>
    </row>
    <row r="28" spans="1:72" ht="26.45" customHeight="1" x14ac:dyDescent="0.25">
      <c r="A28" s="30"/>
      <c r="B28" s="10">
        <v>26</v>
      </c>
      <c r="C28" s="26" t="s">
        <v>34</v>
      </c>
      <c r="D28" s="27"/>
      <c r="E28" s="10" t="s">
        <v>19</v>
      </c>
      <c r="F28" s="10">
        <v>5</v>
      </c>
      <c r="G28" s="11"/>
      <c r="H28" s="12">
        <v>8</v>
      </c>
      <c r="I28" s="12">
        <v>4</v>
      </c>
      <c r="J28" s="12">
        <v>3</v>
      </c>
      <c r="K28" s="12">
        <v>1</v>
      </c>
      <c r="L28" s="12">
        <v>0</v>
      </c>
      <c r="N28" s="12">
        <v>9</v>
      </c>
      <c r="O28" s="12">
        <v>2</v>
      </c>
      <c r="P28" s="12">
        <v>1</v>
      </c>
      <c r="Q28" s="12">
        <v>2</v>
      </c>
      <c r="R28" s="12">
        <v>0</v>
      </c>
      <c r="T28" s="12">
        <v>10</v>
      </c>
      <c r="U28" s="12">
        <v>4</v>
      </c>
      <c r="V28" s="12">
        <v>1</v>
      </c>
      <c r="W28" s="12">
        <v>2</v>
      </c>
      <c r="X28" s="12"/>
      <c r="Z28" s="12">
        <v>13</v>
      </c>
      <c r="AA28" s="12">
        <v>6</v>
      </c>
      <c r="AB28" s="12">
        <v>2</v>
      </c>
      <c r="AC28" s="12"/>
      <c r="AD28" s="12"/>
      <c r="AF28" s="12">
        <v>4</v>
      </c>
      <c r="AG28" s="12">
        <v>5</v>
      </c>
      <c r="AH28" s="12">
        <v>1</v>
      </c>
      <c r="AI28" s="12"/>
      <c r="AJ28" s="12"/>
      <c r="AL28" s="14"/>
      <c r="AM28" s="14"/>
      <c r="AN28" s="14"/>
      <c r="AO28" s="14"/>
      <c r="AP28" s="14"/>
      <c r="AR28" s="14"/>
      <c r="AS28" s="14"/>
      <c r="AT28" s="14"/>
      <c r="AU28" s="14"/>
      <c r="AV28" s="14"/>
      <c r="AX28" s="14"/>
      <c r="AY28" s="14"/>
      <c r="AZ28" s="14"/>
      <c r="BA28" s="14"/>
      <c r="BB28" s="14"/>
      <c r="BD28" s="12"/>
      <c r="BE28" s="12"/>
      <c r="BF28" s="12"/>
      <c r="BG28" s="12"/>
      <c r="BH28" s="12"/>
      <c r="BJ28" s="12">
        <f>H28+N28+T28+Z28+AF28+AL28+AR28+AX28+BD28</f>
        <v>44</v>
      </c>
      <c r="BK28" s="12">
        <f t="shared" ref="BK28:BN36" si="20">I28+O28+U28+AA28+AG28+AM28+AS28+AY28+BE28</f>
        <v>21</v>
      </c>
      <c r="BL28" s="12">
        <f t="shared" si="20"/>
        <v>8</v>
      </c>
      <c r="BM28" s="12">
        <f t="shared" si="20"/>
        <v>5</v>
      </c>
      <c r="BN28" s="12">
        <f t="shared" si="20"/>
        <v>0</v>
      </c>
      <c r="BP28" s="13">
        <f t="shared" ref="BP28:BP36" si="21">BJ28/F28</f>
        <v>8.8000000000000007</v>
      </c>
      <c r="BQ28" s="13">
        <f t="shared" ref="BQ28:BQ36" si="22">BK28/F28</f>
        <v>4.2</v>
      </c>
      <c r="BR28" s="13">
        <f t="shared" ref="BR28:BR36" si="23">BL28/F28</f>
        <v>1.6</v>
      </c>
      <c r="BS28" s="13">
        <f t="shared" ref="BS28:BS36" si="24">BM28/F28</f>
        <v>1</v>
      </c>
      <c r="BT28" s="13">
        <f t="shared" ref="BT28:BT36" si="25">BN28/F28</f>
        <v>0</v>
      </c>
    </row>
    <row r="29" spans="1:72" ht="26.45" customHeight="1" x14ac:dyDescent="0.25">
      <c r="A29" s="30"/>
      <c r="B29" s="10">
        <v>17</v>
      </c>
      <c r="C29" s="26" t="s">
        <v>35</v>
      </c>
      <c r="D29" s="27"/>
      <c r="E29" s="10" t="s">
        <v>25</v>
      </c>
      <c r="F29" s="10">
        <v>8</v>
      </c>
      <c r="G29" s="11"/>
      <c r="H29" s="12">
        <v>4</v>
      </c>
      <c r="I29" s="12">
        <v>0</v>
      </c>
      <c r="J29" s="12">
        <v>1</v>
      </c>
      <c r="K29" s="12">
        <v>3</v>
      </c>
      <c r="L29" s="12">
        <v>0</v>
      </c>
      <c r="N29" s="12">
        <v>6</v>
      </c>
      <c r="O29" s="12">
        <v>1</v>
      </c>
      <c r="P29" s="12">
        <v>0</v>
      </c>
      <c r="Q29" s="12">
        <v>1</v>
      </c>
      <c r="R29" s="12">
        <v>0</v>
      </c>
      <c r="T29" s="12"/>
      <c r="U29" s="12"/>
      <c r="V29" s="12">
        <v>1</v>
      </c>
      <c r="W29" s="12">
        <v>3</v>
      </c>
      <c r="X29" s="12"/>
      <c r="Z29" s="12">
        <v>2</v>
      </c>
      <c r="AA29" s="12">
        <v>2</v>
      </c>
      <c r="AB29" s="12"/>
      <c r="AC29" s="12"/>
      <c r="AD29" s="12">
        <v>1</v>
      </c>
      <c r="AF29" s="12">
        <v>6</v>
      </c>
      <c r="AG29" s="12">
        <v>1</v>
      </c>
      <c r="AH29" s="12">
        <v>1</v>
      </c>
      <c r="AI29" s="12"/>
      <c r="AJ29" s="12"/>
      <c r="AL29" s="12">
        <v>3</v>
      </c>
      <c r="AM29" s="12"/>
      <c r="AN29" s="12"/>
      <c r="AO29" s="12">
        <v>1</v>
      </c>
      <c r="AP29" s="12"/>
      <c r="AR29" s="12">
        <v>8</v>
      </c>
      <c r="AS29" s="12">
        <v>2</v>
      </c>
      <c r="AT29" s="12">
        <v>1</v>
      </c>
      <c r="AU29" s="12">
        <v>1</v>
      </c>
      <c r="AV29" s="12"/>
      <c r="AX29" s="12"/>
      <c r="AY29" s="12">
        <v>1</v>
      </c>
      <c r="AZ29" s="12"/>
      <c r="BA29" s="12"/>
      <c r="BB29" s="12"/>
      <c r="BD29" s="12"/>
      <c r="BE29" s="12"/>
      <c r="BF29" s="12"/>
      <c r="BG29" s="12"/>
      <c r="BH29" s="12"/>
      <c r="BJ29" s="12">
        <f t="shared" ref="BJ29:BJ36" si="26">H29+N29+T29+Z29+AF29+AL29+AR29+AX29+BD29</f>
        <v>29</v>
      </c>
      <c r="BK29" s="12">
        <f t="shared" si="20"/>
        <v>7</v>
      </c>
      <c r="BL29" s="12">
        <f t="shared" si="20"/>
        <v>4</v>
      </c>
      <c r="BM29" s="12">
        <f t="shared" si="20"/>
        <v>9</v>
      </c>
      <c r="BN29" s="12">
        <f t="shared" si="20"/>
        <v>1</v>
      </c>
      <c r="BP29" s="13">
        <f t="shared" si="21"/>
        <v>3.625</v>
      </c>
      <c r="BQ29" s="13">
        <f t="shared" si="22"/>
        <v>0.875</v>
      </c>
      <c r="BR29" s="13">
        <f t="shared" si="23"/>
        <v>0.5</v>
      </c>
      <c r="BS29" s="13">
        <f t="shared" si="24"/>
        <v>1.125</v>
      </c>
      <c r="BT29" s="13">
        <f t="shared" si="25"/>
        <v>0.125</v>
      </c>
    </row>
    <row r="30" spans="1:72" ht="26.45" customHeight="1" x14ac:dyDescent="0.25">
      <c r="A30" s="30"/>
      <c r="B30" s="10">
        <v>1</v>
      </c>
      <c r="C30" s="26" t="s">
        <v>36</v>
      </c>
      <c r="D30" s="27"/>
      <c r="E30" s="10" t="s">
        <v>25</v>
      </c>
      <c r="F30" s="10">
        <v>6</v>
      </c>
      <c r="G30" s="11"/>
      <c r="H30" s="12">
        <v>13</v>
      </c>
      <c r="I30" s="12">
        <v>0</v>
      </c>
      <c r="J30" s="12">
        <v>0</v>
      </c>
      <c r="K30" s="12">
        <v>0</v>
      </c>
      <c r="L30" s="12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T30" s="15">
        <v>5</v>
      </c>
      <c r="U30" s="15"/>
      <c r="V30" s="15"/>
      <c r="W30" s="15">
        <v>2</v>
      </c>
      <c r="X30" s="15"/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L30" s="14"/>
      <c r="AM30" s="14"/>
      <c r="AN30" s="14"/>
      <c r="AO30" s="14"/>
      <c r="AP30" s="14"/>
      <c r="AR30" s="10">
        <v>3</v>
      </c>
      <c r="AS30" s="10"/>
      <c r="AT30" s="10">
        <v>1</v>
      </c>
      <c r="AU30" s="10"/>
      <c r="AV30" s="10"/>
      <c r="AX30" s="12">
        <v>9</v>
      </c>
      <c r="AY30" s="12"/>
      <c r="AZ30" s="12"/>
      <c r="BA30" s="12">
        <v>1</v>
      </c>
      <c r="BB30" s="12"/>
      <c r="BD30" s="12"/>
      <c r="BE30" s="12"/>
      <c r="BF30" s="12"/>
      <c r="BG30" s="12"/>
      <c r="BH30" s="12"/>
      <c r="BJ30" s="12">
        <f t="shared" si="26"/>
        <v>30</v>
      </c>
      <c r="BK30" s="12">
        <f t="shared" si="20"/>
        <v>0</v>
      </c>
      <c r="BL30" s="12">
        <f t="shared" si="20"/>
        <v>1</v>
      </c>
      <c r="BM30" s="12">
        <f t="shared" si="20"/>
        <v>3</v>
      </c>
      <c r="BN30" s="12">
        <f t="shared" si="20"/>
        <v>0</v>
      </c>
      <c r="BP30" s="13">
        <f t="shared" si="21"/>
        <v>5</v>
      </c>
      <c r="BQ30" s="13">
        <f t="shared" si="22"/>
        <v>0</v>
      </c>
      <c r="BR30" s="13">
        <f t="shared" si="23"/>
        <v>0.16666666666666666</v>
      </c>
      <c r="BS30" s="13">
        <f t="shared" si="24"/>
        <v>0.5</v>
      </c>
      <c r="BT30" s="13">
        <f t="shared" si="25"/>
        <v>0</v>
      </c>
    </row>
    <row r="31" spans="1:72" ht="26.45" customHeight="1" x14ac:dyDescent="0.25">
      <c r="A31" s="30"/>
      <c r="B31" s="10">
        <v>22</v>
      </c>
      <c r="C31" s="26" t="s">
        <v>37</v>
      </c>
      <c r="D31" s="27"/>
      <c r="E31" s="10" t="s">
        <v>17</v>
      </c>
      <c r="F31" s="10">
        <v>8</v>
      </c>
      <c r="G31" s="11"/>
      <c r="H31" s="12">
        <v>4</v>
      </c>
      <c r="I31" s="12">
        <v>3</v>
      </c>
      <c r="J31" s="12">
        <v>0</v>
      </c>
      <c r="K31" s="12">
        <v>0</v>
      </c>
      <c r="L31" s="12">
        <v>0</v>
      </c>
      <c r="N31" s="12">
        <v>2</v>
      </c>
      <c r="O31" s="12">
        <v>5</v>
      </c>
      <c r="P31" s="12">
        <v>0</v>
      </c>
      <c r="Q31" s="12">
        <v>1</v>
      </c>
      <c r="R31" s="12">
        <v>1</v>
      </c>
      <c r="T31" s="12">
        <v>2</v>
      </c>
      <c r="U31" s="12">
        <v>2</v>
      </c>
      <c r="V31" s="12"/>
      <c r="W31" s="12">
        <v>2</v>
      </c>
      <c r="X31" s="12"/>
      <c r="Z31" s="12">
        <v>6</v>
      </c>
      <c r="AA31" s="12">
        <v>3</v>
      </c>
      <c r="AB31" s="12"/>
      <c r="AC31" s="12"/>
      <c r="AD31" s="12"/>
      <c r="AF31" s="12">
        <v>10</v>
      </c>
      <c r="AG31" s="12">
        <v>6</v>
      </c>
      <c r="AH31" s="12"/>
      <c r="AI31" s="12"/>
      <c r="AJ31" s="12"/>
      <c r="AL31" s="12">
        <v>10</v>
      </c>
      <c r="AM31" s="12">
        <v>4</v>
      </c>
      <c r="AN31" s="12"/>
      <c r="AO31" s="12">
        <v>1</v>
      </c>
      <c r="AP31" s="12"/>
      <c r="AR31" s="12">
        <v>14</v>
      </c>
      <c r="AS31" s="12">
        <v>2</v>
      </c>
      <c r="AT31" s="12"/>
      <c r="AU31" s="12"/>
      <c r="AV31" s="12"/>
      <c r="AX31" s="12">
        <v>7</v>
      </c>
      <c r="AY31" s="12">
        <v>6</v>
      </c>
      <c r="AZ31" s="12"/>
      <c r="BA31" s="12"/>
      <c r="BB31" s="12"/>
      <c r="BD31" s="12"/>
      <c r="BE31" s="12"/>
      <c r="BF31" s="12"/>
      <c r="BG31" s="12"/>
      <c r="BH31" s="12"/>
      <c r="BJ31" s="12">
        <f t="shared" si="26"/>
        <v>55</v>
      </c>
      <c r="BK31" s="12">
        <f t="shared" si="20"/>
        <v>31</v>
      </c>
      <c r="BL31" s="12">
        <f t="shared" si="20"/>
        <v>0</v>
      </c>
      <c r="BM31" s="12">
        <f t="shared" si="20"/>
        <v>4</v>
      </c>
      <c r="BN31" s="12">
        <f t="shared" si="20"/>
        <v>1</v>
      </c>
      <c r="BP31" s="13">
        <f t="shared" si="21"/>
        <v>6.875</v>
      </c>
      <c r="BQ31" s="13">
        <f t="shared" si="22"/>
        <v>3.875</v>
      </c>
      <c r="BR31" s="13">
        <f t="shared" si="23"/>
        <v>0</v>
      </c>
      <c r="BS31" s="13">
        <f t="shared" si="24"/>
        <v>0.5</v>
      </c>
      <c r="BT31" s="13">
        <f t="shared" si="25"/>
        <v>0.125</v>
      </c>
    </row>
    <row r="32" spans="1:72" ht="26.45" customHeight="1" x14ac:dyDescent="0.25">
      <c r="A32" s="30"/>
      <c r="B32" s="10">
        <v>20</v>
      </c>
      <c r="C32" s="26" t="s">
        <v>38</v>
      </c>
      <c r="D32" s="27"/>
      <c r="E32" s="10" t="s">
        <v>23</v>
      </c>
      <c r="F32" s="10">
        <v>8</v>
      </c>
      <c r="G32" s="11"/>
      <c r="H32" s="12">
        <v>0</v>
      </c>
      <c r="I32" s="12">
        <v>1</v>
      </c>
      <c r="J32" s="12">
        <v>1</v>
      </c>
      <c r="K32" s="12">
        <v>1</v>
      </c>
      <c r="L32" s="12">
        <v>0</v>
      </c>
      <c r="N32" s="12">
        <v>0</v>
      </c>
      <c r="O32" s="12">
        <v>5</v>
      </c>
      <c r="P32" s="12">
        <v>1</v>
      </c>
      <c r="Q32" s="12">
        <v>2</v>
      </c>
      <c r="R32" s="12">
        <v>1</v>
      </c>
      <c r="T32" s="12"/>
      <c r="U32" s="12">
        <v>1</v>
      </c>
      <c r="V32" s="12">
        <v>1</v>
      </c>
      <c r="W32" s="12"/>
      <c r="X32" s="12"/>
      <c r="Z32" s="12"/>
      <c r="AA32" s="12">
        <v>7</v>
      </c>
      <c r="AB32" s="12"/>
      <c r="AC32" s="12">
        <v>1</v>
      </c>
      <c r="AD32" s="12"/>
      <c r="AF32" s="12"/>
      <c r="AG32" s="12">
        <v>5</v>
      </c>
      <c r="AH32" s="12">
        <v>1</v>
      </c>
      <c r="AI32" s="12"/>
      <c r="AJ32" s="12"/>
      <c r="AL32" s="14"/>
      <c r="AM32" s="14"/>
      <c r="AN32" s="14"/>
      <c r="AO32" s="14"/>
      <c r="AP32" s="14"/>
      <c r="AR32" s="14"/>
      <c r="AS32" s="14"/>
      <c r="AT32" s="14"/>
      <c r="AU32" s="14"/>
      <c r="AV32" s="14"/>
      <c r="AX32" s="12">
        <v>2</v>
      </c>
      <c r="AY32" s="12">
        <v>5</v>
      </c>
      <c r="AZ32" s="12"/>
      <c r="BA32" s="12"/>
      <c r="BB32" s="12"/>
      <c r="BD32" s="12"/>
      <c r="BE32" s="12"/>
      <c r="BF32" s="12"/>
      <c r="BG32" s="12"/>
      <c r="BH32" s="12"/>
      <c r="BJ32" s="12">
        <f t="shared" si="26"/>
        <v>2</v>
      </c>
      <c r="BK32" s="12">
        <f t="shared" si="20"/>
        <v>24</v>
      </c>
      <c r="BL32" s="12">
        <f t="shared" si="20"/>
        <v>4</v>
      </c>
      <c r="BM32" s="12">
        <f t="shared" si="20"/>
        <v>4</v>
      </c>
      <c r="BN32" s="12">
        <f t="shared" si="20"/>
        <v>1</v>
      </c>
      <c r="BP32" s="13">
        <f t="shared" si="21"/>
        <v>0.25</v>
      </c>
      <c r="BQ32" s="13">
        <f t="shared" si="22"/>
        <v>3</v>
      </c>
      <c r="BR32" s="13">
        <f t="shared" si="23"/>
        <v>0.5</v>
      </c>
      <c r="BS32" s="13">
        <f t="shared" si="24"/>
        <v>0.5</v>
      </c>
      <c r="BT32" s="13">
        <f t="shared" si="25"/>
        <v>0.125</v>
      </c>
    </row>
    <row r="33" spans="1:72" ht="26.45" customHeight="1" x14ac:dyDescent="0.25">
      <c r="A33" s="30"/>
      <c r="B33" s="10">
        <v>16</v>
      </c>
      <c r="C33" s="26" t="s">
        <v>39</v>
      </c>
      <c r="D33" s="27"/>
      <c r="E33" s="10" t="s">
        <v>23</v>
      </c>
      <c r="F33" s="10">
        <v>3</v>
      </c>
      <c r="G33" s="11"/>
      <c r="H33" s="15">
        <v>0</v>
      </c>
      <c r="I33" s="15">
        <v>0</v>
      </c>
      <c r="J33" s="15">
        <v>0</v>
      </c>
      <c r="K33" s="15">
        <v>0</v>
      </c>
      <c r="L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T33" s="12">
        <v>20</v>
      </c>
      <c r="U33" s="12">
        <v>3</v>
      </c>
      <c r="V33" s="12"/>
      <c r="W33" s="12">
        <v>2</v>
      </c>
      <c r="X33" s="12"/>
      <c r="Z33" s="12">
        <v>13</v>
      </c>
      <c r="AA33" s="12">
        <v>9</v>
      </c>
      <c r="AB33" s="12">
        <v>1</v>
      </c>
      <c r="AC33" s="12">
        <v>1</v>
      </c>
      <c r="AD33" s="12"/>
      <c r="AF33" s="12">
        <v>9</v>
      </c>
      <c r="AG33" s="12">
        <v>1</v>
      </c>
      <c r="AH33" s="12">
        <v>2</v>
      </c>
      <c r="AI33" s="12">
        <v>5</v>
      </c>
      <c r="AJ33" s="12"/>
      <c r="AL33" s="14"/>
      <c r="AM33" s="14"/>
      <c r="AN33" s="14"/>
      <c r="AO33" s="14"/>
      <c r="AP33" s="14"/>
      <c r="AR33" s="14"/>
      <c r="AS33" s="14"/>
      <c r="AT33" s="14"/>
      <c r="AU33" s="14"/>
      <c r="AV33" s="14"/>
      <c r="AX33" s="14"/>
      <c r="AY33" s="14"/>
      <c r="AZ33" s="14"/>
      <c r="BA33" s="14"/>
      <c r="BB33" s="14"/>
      <c r="BD33" s="12"/>
      <c r="BE33" s="12"/>
      <c r="BF33" s="12"/>
      <c r="BG33" s="12"/>
      <c r="BH33" s="12"/>
      <c r="BJ33" s="12">
        <f t="shared" si="26"/>
        <v>42</v>
      </c>
      <c r="BK33" s="12">
        <f t="shared" si="20"/>
        <v>13</v>
      </c>
      <c r="BL33" s="12">
        <f t="shared" si="20"/>
        <v>3</v>
      </c>
      <c r="BM33" s="12">
        <f t="shared" si="20"/>
        <v>8</v>
      </c>
      <c r="BN33" s="12">
        <f t="shared" si="20"/>
        <v>0</v>
      </c>
      <c r="BP33" s="13">
        <f t="shared" si="21"/>
        <v>14</v>
      </c>
      <c r="BQ33" s="13">
        <f t="shared" si="22"/>
        <v>4.333333333333333</v>
      </c>
      <c r="BR33" s="13">
        <f t="shared" si="23"/>
        <v>1</v>
      </c>
      <c r="BS33" s="13">
        <f t="shared" si="24"/>
        <v>2.6666666666666665</v>
      </c>
      <c r="BT33" s="13">
        <f t="shared" si="25"/>
        <v>0</v>
      </c>
    </row>
    <row r="34" spans="1:72" ht="26.45" customHeight="1" x14ac:dyDescent="0.25">
      <c r="A34" s="30"/>
      <c r="B34" s="10">
        <v>89</v>
      </c>
      <c r="C34" s="26" t="s">
        <v>40</v>
      </c>
      <c r="D34" s="27"/>
      <c r="E34" s="10" t="s">
        <v>17</v>
      </c>
      <c r="F34" s="10">
        <v>8</v>
      </c>
      <c r="G34" s="11"/>
      <c r="H34" s="12">
        <v>6</v>
      </c>
      <c r="I34" s="12">
        <v>2</v>
      </c>
      <c r="J34" s="12">
        <v>1</v>
      </c>
      <c r="K34" s="12">
        <v>0</v>
      </c>
      <c r="L34" s="12">
        <v>0</v>
      </c>
      <c r="N34" s="12">
        <v>2</v>
      </c>
      <c r="O34" s="12">
        <v>7</v>
      </c>
      <c r="P34" s="12">
        <v>0</v>
      </c>
      <c r="Q34" s="12">
        <v>0</v>
      </c>
      <c r="R34" s="12">
        <v>0</v>
      </c>
      <c r="T34" s="12">
        <v>3</v>
      </c>
      <c r="U34" s="12">
        <v>1</v>
      </c>
      <c r="V34" s="12"/>
      <c r="W34" s="12"/>
      <c r="X34" s="12"/>
      <c r="Z34" s="12">
        <v>6</v>
      </c>
      <c r="AA34" s="12">
        <v>2</v>
      </c>
      <c r="AB34" s="12"/>
      <c r="AC34" s="12"/>
      <c r="AD34" s="12"/>
      <c r="AF34" s="12"/>
      <c r="AG34" s="12">
        <v>2</v>
      </c>
      <c r="AH34" s="12"/>
      <c r="AI34" s="12">
        <v>1</v>
      </c>
      <c r="AJ34" s="12"/>
      <c r="AL34" s="12"/>
      <c r="AM34" s="12">
        <v>2</v>
      </c>
      <c r="AN34" s="12">
        <v>1</v>
      </c>
      <c r="AO34" s="12">
        <v>1</v>
      </c>
      <c r="AP34" s="12"/>
      <c r="AR34" s="12">
        <v>2</v>
      </c>
      <c r="AS34" s="12">
        <v>4</v>
      </c>
      <c r="AT34" s="12"/>
      <c r="AU34" s="12"/>
      <c r="AV34" s="12"/>
      <c r="AX34" s="12">
        <v>5</v>
      </c>
      <c r="AY34" s="12">
        <v>4</v>
      </c>
      <c r="AZ34" s="12">
        <v>2</v>
      </c>
      <c r="BA34" s="12"/>
      <c r="BB34" s="12"/>
      <c r="BD34" s="12"/>
      <c r="BE34" s="12"/>
      <c r="BF34" s="12"/>
      <c r="BG34" s="12"/>
      <c r="BH34" s="12"/>
      <c r="BJ34" s="12">
        <f t="shared" si="26"/>
        <v>24</v>
      </c>
      <c r="BK34" s="12">
        <f t="shared" si="20"/>
        <v>24</v>
      </c>
      <c r="BL34" s="12">
        <f t="shared" si="20"/>
        <v>4</v>
      </c>
      <c r="BM34" s="12">
        <f t="shared" si="20"/>
        <v>2</v>
      </c>
      <c r="BN34" s="12">
        <f t="shared" si="20"/>
        <v>0</v>
      </c>
      <c r="BP34" s="13">
        <f t="shared" si="21"/>
        <v>3</v>
      </c>
      <c r="BQ34" s="13">
        <f t="shared" si="22"/>
        <v>3</v>
      </c>
      <c r="BR34" s="13">
        <f t="shared" si="23"/>
        <v>0.5</v>
      </c>
      <c r="BS34" s="13">
        <f t="shared" si="24"/>
        <v>0.25</v>
      </c>
      <c r="BT34" s="13">
        <f t="shared" si="25"/>
        <v>0</v>
      </c>
    </row>
    <row r="35" spans="1:72" ht="26.45" customHeight="1" x14ac:dyDescent="0.25">
      <c r="A35" s="30"/>
      <c r="B35" s="10">
        <v>14</v>
      </c>
      <c r="C35" s="26" t="s">
        <v>41</v>
      </c>
      <c r="D35" s="27"/>
      <c r="E35" s="10" t="s">
        <v>23</v>
      </c>
      <c r="F35" s="10">
        <v>8</v>
      </c>
      <c r="G35" s="11"/>
      <c r="H35" s="12">
        <v>0</v>
      </c>
      <c r="I35" s="12">
        <v>2</v>
      </c>
      <c r="J35" s="12">
        <v>0</v>
      </c>
      <c r="K35" s="12">
        <v>0</v>
      </c>
      <c r="L35" s="12">
        <v>0</v>
      </c>
      <c r="N35" s="12">
        <v>0</v>
      </c>
      <c r="O35" s="12">
        <v>3</v>
      </c>
      <c r="P35" s="12">
        <v>0</v>
      </c>
      <c r="Q35" s="12">
        <v>0</v>
      </c>
      <c r="R35" s="12">
        <v>0</v>
      </c>
      <c r="T35" s="17"/>
      <c r="U35" s="17"/>
      <c r="V35" s="17"/>
      <c r="W35" s="17"/>
      <c r="X35" s="17"/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F35" s="15"/>
      <c r="AG35" s="15"/>
      <c r="AH35" s="15"/>
      <c r="AI35" s="15"/>
      <c r="AJ35" s="15"/>
      <c r="AL35" s="12">
        <v>2</v>
      </c>
      <c r="AM35" s="12">
        <v>3</v>
      </c>
      <c r="AN35" s="12"/>
      <c r="AO35" s="12">
        <v>1</v>
      </c>
      <c r="AP35" s="12"/>
      <c r="AR35" s="12">
        <v>2</v>
      </c>
      <c r="AS35" s="12">
        <v>4</v>
      </c>
      <c r="AT35" s="12">
        <v>1</v>
      </c>
      <c r="AU35" s="12"/>
      <c r="AV35" s="12"/>
      <c r="AX35" s="12">
        <v>2</v>
      </c>
      <c r="AY35" s="12">
        <v>1</v>
      </c>
      <c r="AZ35" s="12"/>
      <c r="BA35" s="12"/>
      <c r="BB35" s="12"/>
      <c r="BD35" s="12"/>
      <c r="BE35" s="12"/>
      <c r="BF35" s="12"/>
      <c r="BG35" s="12"/>
      <c r="BH35" s="12"/>
      <c r="BJ35" s="12">
        <f t="shared" si="26"/>
        <v>6</v>
      </c>
      <c r="BK35" s="12">
        <f t="shared" si="20"/>
        <v>13</v>
      </c>
      <c r="BL35" s="12">
        <f t="shared" si="20"/>
        <v>1</v>
      </c>
      <c r="BM35" s="12">
        <f t="shared" si="20"/>
        <v>1</v>
      </c>
      <c r="BN35" s="12">
        <f t="shared" si="20"/>
        <v>0</v>
      </c>
      <c r="BP35" s="13">
        <f t="shared" si="21"/>
        <v>0.75</v>
      </c>
      <c r="BQ35" s="13">
        <f t="shared" si="22"/>
        <v>1.625</v>
      </c>
      <c r="BR35" s="13">
        <f t="shared" si="23"/>
        <v>0.125</v>
      </c>
      <c r="BS35" s="13">
        <f t="shared" si="24"/>
        <v>0.125</v>
      </c>
      <c r="BT35" s="13">
        <f t="shared" si="25"/>
        <v>0</v>
      </c>
    </row>
    <row r="36" spans="1:72" ht="26.45" customHeight="1" x14ac:dyDescent="0.25">
      <c r="A36" s="31"/>
      <c r="B36" s="10">
        <v>0</v>
      </c>
      <c r="C36" s="32" t="s">
        <v>42</v>
      </c>
      <c r="D36" s="32"/>
      <c r="E36" s="10" t="s">
        <v>21</v>
      </c>
      <c r="F36" s="10">
        <v>2</v>
      </c>
      <c r="G36" s="11"/>
      <c r="H36" s="14"/>
      <c r="I36" s="14"/>
      <c r="J36" s="14"/>
      <c r="K36" s="14"/>
      <c r="L36" s="14"/>
      <c r="N36" s="14"/>
      <c r="O36" s="14"/>
      <c r="P36" s="14"/>
      <c r="Q36" s="14"/>
      <c r="R36" s="14"/>
      <c r="T36" s="18"/>
      <c r="U36" s="18"/>
      <c r="V36" s="18"/>
      <c r="W36" s="18"/>
      <c r="X36" s="18"/>
      <c r="Z36" s="17"/>
      <c r="AA36" s="17"/>
      <c r="AB36" s="17"/>
      <c r="AC36" s="17"/>
      <c r="AD36" s="17"/>
      <c r="AF36" s="17"/>
      <c r="AG36" s="17"/>
      <c r="AH36" s="17"/>
      <c r="AI36" s="17"/>
      <c r="AJ36" s="17"/>
      <c r="AL36" s="12">
        <v>7</v>
      </c>
      <c r="AM36" s="12">
        <v>3</v>
      </c>
      <c r="AN36" s="12">
        <v>1</v>
      </c>
      <c r="AO36" s="12">
        <v>2</v>
      </c>
      <c r="AP36" s="12"/>
      <c r="AR36" s="12">
        <v>3</v>
      </c>
      <c r="AS36" s="12">
        <v>2</v>
      </c>
      <c r="AT36" s="12">
        <v>2</v>
      </c>
      <c r="AU36" s="12">
        <v>1</v>
      </c>
      <c r="AV36" s="12"/>
      <c r="AX36" s="14"/>
      <c r="AY36" s="14"/>
      <c r="AZ36" s="14"/>
      <c r="BA36" s="14"/>
      <c r="BB36" s="14"/>
      <c r="BD36" s="12"/>
      <c r="BE36" s="12"/>
      <c r="BF36" s="12"/>
      <c r="BG36" s="12"/>
      <c r="BH36" s="12"/>
      <c r="BJ36" s="12">
        <f t="shared" si="26"/>
        <v>10</v>
      </c>
      <c r="BK36" s="12">
        <f t="shared" si="20"/>
        <v>5</v>
      </c>
      <c r="BL36" s="12">
        <f t="shared" si="20"/>
        <v>3</v>
      </c>
      <c r="BM36" s="12">
        <f t="shared" si="20"/>
        <v>3</v>
      </c>
      <c r="BN36" s="12">
        <f t="shared" si="20"/>
        <v>0</v>
      </c>
      <c r="BP36" s="13">
        <f t="shared" si="21"/>
        <v>5</v>
      </c>
      <c r="BQ36" s="13">
        <f t="shared" si="22"/>
        <v>2.5</v>
      </c>
      <c r="BR36" s="13">
        <f t="shared" si="23"/>
        <v>1.5</v>
      </c>
      <c r="BS36" s="13">
        <f t="shared" si="24"/>
        <v>1.5</v>
      </c>
      <c r="BT36" s="13">
        <f t="shared" si="25"/>
        <v>0</v>
      </c>
    </row>
    <row r="37" spans="1:72" x14ac:dyDescent="0.25">
      <c r="H37" s="2">
        <f>SUM(H28:H35)</f>
        <v>35</v>
      </c>
      <c r="I37" s="2">
        <f t="shared" ref="I37:X37" si="27">SUM(I28:I35)</f>
        <v>12</v>
      </c>
      <c r="J37" s="2">
        <f t="shared" si="27"/>
        <v>6</v>
      </c>
      <c r="K37" s="2">
        <f t="shared" si="27"/>
        <v>5</v>
      </c>
      <c r="L37" s="2">
        <f t="shared" si="27"/>
        <v>0</v>
      </c>
      <c r="M37" s="2"/>
      <c r="N37" s="2">
        <f t="shared" si="27"/>
        <v>19</v>
      </c>
      <c r="O37" s="2">
        <f t="shared" si="27"/>
        <v>23</v>
      </c>
      <c r="P37" s="2">
        <f t="shared" si="27"/>
        <v>2</v>
      </c>
      <c r="Q37" s="2">
        <f t="shared" si="27"/>
        <v>6</v>
      </c>
      <c r="R37" s="2">
        <f t="shared" si="27"/>
        <v>2</v>
      </c>
      <c r="S37" s="2"/>
      <c r="T37" s="2">
        <f t="shared" si="27"/>
        <v>40</v>
      </c>
      <c r="U37" s="2">
        <f t="shared" si="27"/>
        <v>11</v>
      </c>
      <c r="V37" s="2">
        <f t="shared" si="27"/>
        <v>3</v>
      </c>
      <c r="W37" s="2">
        <f t="shared" si="27"/>
        <v>11</v>
      </c>
      <c r="X37" s="2">
        <f t="shared" si="27"/>
        <v>0</v>
      </c>
      <c r="Z37" s="2">
        <f>SUM(Z28:Z35)</f>
        <v>40</v>
      </c>
      <c r="AA37" s="2">
        <f t="shared" ref="AA37:AD37" si="28">SUM(AA28:AA35)</f>
        <v>29</v>
      </c>
      <c r="AB37" s="2">
        <f t="shared" si="28"/>
        <v>3</v>
      </c>
      <c r="AC37" s="2">
        <f t="shared" si="28"/>
        <v>2</v>
      </c>
      <c r="AD37" s="2">
        <f t="shared" si="28"/>
        <v>1</v>
      </c>
      <c r="AE37" s="2"/>
      <c r="AF37" s="2">
        <f>SUM(AF28:AF35)</f>
        <v>29</v>
      </c>
      <c r="AG37" s="2">
        <f>SUM(AG28:AG35)</f>
        <v>20</v>
      </c>
      <c r="AH37" s="2">
        <f t="shared" ref="AH37:AJ37" si="29">SUM(AH28:AH35)</f>
        <v>5</v>
      </c>
      <c r="AI37" s="2">
        <f t="shared" si="29"/>
        <v>6</v>
      </c>
      <c r="AJ37" s="2">
        <f t="shared" si="29"/>
        <v>0</v>
      </c>
      <c r="AK37" s="2"/>
      <c r="AL37" s="2">
        <f>SUM(AL28:AL36)</f>
        <v>22</v>
      </c>
      <c r="AM37" s="2">
        <f t="shared" ref="AM37:AP37" si="30">SUM(AM28:AM36)</f>
        <v>12</v>
      </c>
      <c r="AN37" s="2">
        <f t="shared" si="30"/>
        <v>2</v>
      </c>
      <c r="AO37" s="2">
        <f t="shared" si="30"/>
        <v>6</v>
      </c>
      <c r="AP37" s="2">
        <f t="shared" si="30"/>
        <v>0</v>
      </c>
      <c r="AQ37" s="2"/>
      <c r="AR37" s="2">
        <f>SUM(AR28:AR36)</f>
        <v>32</v>
      </c>
      <c r="AS37" s="2">
        <f t="shared" ref="AS37:AV37" si="31">SUM(AS28:AS36)</f>
        <v>14</v>
      </c>
      <c r="AT37" s="2">
        <f t="shared" si="31"/>
        <v>5</v>
      </c>
      <c r="AU37" s="2">
        <f t="shared" si="31"/>
        <v>2</v>
      </c>
      <c r="AV37" s="2">
        <f t="shared" si="31"/>
        <v>0</v>
      </c>
      <c r="AW37" s="2"/>
      <c r="AX37" s="2">
        <f t="shared" ref="AX37:BB37" si="32">SUM(AX28:AX36)</f>
        <v>25</v>
      </c>
      <c r="AY37" s="2">
        <f t="shared" si="32"/>
        <v>17</v>
      </c>
      <c r="AZ37" s="2">
        <f t="shared" si="32"/>
        <v>2</v>
      </c>
      <c r="BA37" s="2">
        <f t="shared" si="32"/>
        <v>1</v>
      </c>
      <c r="BB37" s="2">
        <f t="shared" si="32"/>
        <v>0</v>
      </c>
      <c r="BC37" s="2"/>
      <c r="BD37" s="2">
        <f t="shared" ref="BD37:BH37" si="33">SUM(BD28:BD36)</f>
        <v>0</v>
      </c>
      <c r="BE37" s="2">
        <f t="shared" si="33"/>
        <v>0</v>
      </c>
      <c r="BF37" s="2">
        <f t="shared" si="33"/>
        <v>0</v>
      </c>
      <c r="BG37" s="2">
        <f t="shared" si="33"/>
        <v>0</v>
      </c>
      <c r="BH37" s="2">
        <f t="shared" si="33"/>
        <v>0</v>
      </c>
    </row>
    <row r="39" spans="1:72" ht="18.75" x14ac:dyDescent="0.3">
      <c r="H39" s="3" t="s">
        <v>0</v>
      </c>
      <c r="I39" s="4">
        <v>1</v>
      </c>
      <c r="J39" s="4" t="s">
        <v>1</v>
      </c>
      <c r="K39" s="20" t="s">
        <v>3</v>
      </c>
      <c r="L39" s="21"/>
      <c r="N39" s="3" t="s">
        <v>0</v>
      </c>
      <c r="O39" s="4">
        <v>2</v>
      </c>
      <c r="P39" s="4" t="s">
        <v>1</v>
      </c>
      <c r="Q39" s="20" t="s">
        <v>2</v>
      </c>
      <c r="R39" s="21"/>
      <c r="T39" s="3" t="s">
        <v>0</v>
      </c>
      <c r="U39" s="4">
        <v>3</v>
      </c>
      <c r="V39" s="4" t="s">
        <v>1</v>
      </c>
      <c r="W39" s="20" t="s">
        <v>28</v>
      </c>
      <c r="X39" s="21"/>
      <c r="Z39" s="3" t="s">
        <v>0</v>
      </c>
      <c r="AA39" s="4">
        <v>4</v>
      </c>
      <c r="AB39" s="4" t="s">
        <v>1</v>
      </c>
      <c r="AC39" s="20" t="s">
        <v>3</v>
      </c>
      <c r="AD39" s="21"/>
      <c r="AF39" s="3" t="s">
        <v>0</v>
      </c>
      <c r="AG39" s="4">
        <v>5</v>
      </c>
      <c r="AH39" s="4" t="s">
        <v>1</v>
      </c>
      <c r="AI39" s="20" t="s">
        <v>2</v>
      </c>
      <c r="AJ39" s="21"/>
      <c r="AL39" s="3" t="s">
        <v>0</v>
      </c>
      <c r="AM39" s="4">
        <v>6</v>
      </c>
      <c r="AN39" s="4" t="s">
        <v>1</v>
      </c>
      <c r="AO39" s="20" t="s">
        <v>2</v>
      </c>
      <c r="AP39" s="21"/>
      <c r="AR39" s="3" t="s">
        <v>0</v>
      </c>
      <c r="AS39" s="4">
        <v>7</v>
      </c>
      <c r="AT39" s="4" t="s">
        <v>1</v>
      </c>
      <c r="AU39" s="20" t="s">
        <v>3</v>
      </c>
      <c r="AV39" s="21"/>
      <c r="AX39" s="3" t="s">
        <v>0</v>
      </c>
      <c r="AY39" s="4">
        <v>8</v>
      </c>
      <c r="AZ39" s="4" t="s">
        <v>1</v>
      </c>
      <c r="BA39" s="20" t="s">
        <v>28</v>
      </c>
      <c r="BB39" s="21"/>
      <c r="BD39" s="3" t="s">
        <v>0</v>
      </c>
      <c r="BE39" s="4">
        <v>9</v>
      </c>
      <c r="BF39" s="4" t="s">
        <v>1</v>
      </c>
      <c r="BG39" s="20" t="s">
        <v>28</v>
      </c>
      <c r="BH39" s="21"/>
      <c r="BJ39" s="20" t="s">
        <v>5</v>
      </c>
      <c r="BK39" s="22"/>
      <c r="BL39" s="22"/>
      <c r="BM39" s="22"/>
      <c r="BN39" s="21"/>
      <c r="BP39" s="20" t="s">
        <v>6</v>
      </c>
      <c r="BQ39" s="22"/>
      <c r="BR39" s="22"/>
      <c r="BS39" s="22"/>
      <c r="BT39" s="21"/>
    </row>
    <row r="40" spans="1:72" ht="26.45" customHeight="1" x14ac:dyDescent="0.25">
      <c r="A40" s="29"/>
      <c r="B40" s="7" t="s">
        <v>7</v>
      </c>
      <c r="C40" s="24" t="s">
        <v>8</v>
      </c>
      <c r="D40" s="25"/>
      <c r="E40" s="7" t="s">
        <v>9</v>
      </c>
      <c r="F40" s="7" t="s">
        <v>10</v>
      </c>
      <c r="G40" s="8"/>
      <c r="H40" s="9" t="s">
        <v>11</v>
      </c>
      <c r="I40" s="9" t="s">
        <v>12</v>
      </c>
      <c r="J40" s="9" t="s">
        <v>13</v>
      </c>
      <c r="K40" s="9" t="s">
        <v>14</v>
      </c>
      <c r="L40" s="9" t="s">
        <v>15</v>
      </c>
      <c r="N40" s="9" t="s">
        <v>11</v>
      </c>
      <c r="O40" s="9" t="s">
        <v>12</v>
      </c>
      <c r="P40" s="9" t="s">
        <v>13</v>
      </c>
      <c r="Q40" s="9" t="s">
        <v>14</v>
      </c>
      <c r="R40" s="9" t="s">
        <v>15</v>
      </c>
      <c r="T40" s="9" t="s">
        <v>11</v>
      </c>
      <c r="U40" s="9" t="s">
        <v>12</v>
      </c>
      <c r="V40" s="9" t="s">
        <v>13</v>
      </c>
      <c r="W40" s="9" t="s">
        <v>14</v>
      </c>
      <c r="X40" s="9" t="s">
        <v>15</v>
      </c>
      <c r="Z40" s="9" t="s">
        <v>11</v>
      </c>
      <c r="AA40" s="9" t="s">
        <v>12</v>
      </c>
      <c r="AB40" s="9" t="s">
        <v>13</v>
      </c>
      <c r="AC40" s="9" t="s">
        <v>14</v>
      </c>
      <c r="AD40" s="9" t="s">
        <v>15</v>
      </c>
      <c r="AF40" s="9" t="s">
        <v>11</v>
      </c>
      <c r="AG40" s="9" t="s">
        <v>12</v>
      </c>
      <c r="AH40" s="9" t="s">
        <v>13</v>
      </c>
      <c r="AI40" s="9" t="s">
        <v>14</v>
      </c>
      <c r="AJ40" s="9" t="s">
        <v>15</v>
      </c>
      <c r="AL40" s="9" t="s">
        <v>11</v>
      </c>
      <c r="AM40" s="9" t="s">
        <v>12</v>
      </c>
      <c r="AN40" s="9" t="s">
        <v>13</v>
      </c>
      <c r="AO40" s="9" t="s">
        <v>14</v>
      </c>
      <c r="AP40" s="9" t="s">
        <v>15</v>
      </c>
      <c r="AR40" s="9" t="s">
        <v>11</v>
      </c>
      <c r="AS40" s="9" t="s">
        <v>12</v>
      </c>
      <c r="AT40" s="9" t="s">
        <v>13</v>
      </c>
      <c r="AU40" s="9" t="s">
        <v>14</v>
      </c>
      <c r="AV40" s="9" t="s">
        <v>15</v>
      </c>
      <c r="AX40" s="9" t="s">
        <v>11</v>
      </c>
      <c r="AY40" s="9" t="s">
        <v>12</v>
      </c>
      <c r="AZ40" s="9" t="s">
        <v>13</v>
      </c>
      <c r="BA40" s="9" t="s">
        <v>14</v>
      </c>
      <c r="BB40" s="9" t="s">
        <v>15</v>
      </c>
      <c r="BD40" s="9" t="s">
        <v>11</v>
      </c>
      <c r="BE40" s="9" t="s">
        <v>12</v>
      </c>
      <c r="BF40" s="9" t="s">
        <v>13</v>
      </c>
      <c r="BG40" s="9" t="s">
        <v>14</v>
      </c>
      <c r="BH40" s="9" t="s">
        <v>15</v>
      </c>
      <c r="BJ40" s="9" t="s">
        <v>11</v>
      </c>
      <c r="BK40" s="9" t="s">
        <v>12</v>
      </c>
      <c r="BL40" s="9" t="s">
        <v>13</v>
      </c>
      <c r="BM40" s="9" t="s">
        <v>14</v>
      </c>
      <c r="BN40" s="9" t="s">
        <v>15</v>
      </c>
      <c r="BP40" s="9" t="s">
        <v>11</v>
      </c>
      <c r="BQ40" s="9" t="s">
        <v>12</v>
      </c>
      <c r="BR40" s="9" t="s">
        <v>13</v>
      </c>
      <c r="BS40" s="9" t="s">
        <v>14</v>
      </c>
      <c r="BT40" s="9" t="s">
        <v>15</v>
      </c>
    </row>
    <row r="41" spans="1:72" ht="26.45" customHeight="1" x14ac:dyDescent="0.25">
      <c r="A41" s="30"/>
      <c r="B41" s="10">
        <v>29</v>
      </c>
      <c r="C41" s="26" t="s">
        <v>43</v>
      </c>
      <c r="D41" s="27"/>
      <c r="E41" s="10" t="s">
        <v>19</v>
      </c>
      <c r="F41" s="10">
        <v>4</v>
      </c>
      <c r="G41" s="11"/>
      <c r="H41" s="12">
        <v>8</v>
      </c>
      <c r="I41" s="12">
        <v>6</v>
      </c>
      <c r="J41" s="12">
        <v>1</v>
      </c>
      <c r="K41" s="12">
        <v>2</v>
      </c>
      <c r="L41" s="12">
        <v>1</v>
      </c>
      <c r="N41" s="12">
        <v>0</v>
      </c>
      <c r="O41" s="12">
        <v>5</v>
      </c>
      <c r="P41" s="12">
        <v>1</v>
      </c>
      <c r="Q41" s="12">
        <v>0</v>
      </c>
      <c r="R41" s="12">
        <v>0</v>
      </c>
      <c r="T41" s="12">
        <v>4</v>
      </c>
      <c r="U41" s="19">
        <f>(I41+O41)/2</f>
        <v>5.5</v>
      </c>
      <c r="V41" s="19">
        <f t="shared" ref="V41:X44" si="34">(J41+P41)/2</f>
        <v>1</v>
      </c>
      <c r="W41" s="19">
        <f t="shared" si="34"/>
        <v>1</v>
      </c>
      <c r="X41" s="19">
        <f t="shared" si="34"/>
        <v>0.5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L41" s="12">
        <v>2</v>
      </c>
      <c r="AM41" s="12">
        <v>2</v>
      </c>
      <c r="AN41" s="12"/>
      <c r="AO41" s="12">
        <v>1</v>
      </c>
      <c r="AP41" s="12">
        <v>2</v>
      </c>
      <c r="AR41" s="12">
        <v>6</v>
      </c>
      <c r="AS41" s="12">
        <v>5</v>
      </c>
      <c r="AT41" s="12"/>
      <c r="AU41" s="12">
        <v>1</v>
      </c>
      <c r="AV41" s="12">
        <v>1</v>
      </c>
      <c r="AX41" s="12">
        <v>2</v>
      </c>
      <c r="AY41" s="12">
        <v>4</v>
      </c>
      <c r="AZ41" s="12"/>
      <c r="BA41" s="12">
        <v>1</v>
      </c>
      <c r="BB41" s="12"/>
      <c r="BD41" s="12"/>
      <c r="BE41" s="12"/>
      <c r="BF41" s="12"/>
      <c r="BG41" s="12"/>
      <c r="BH41" s="12"/>
      <c r="BJ41" s="12">
        <f>H41+N41+T41+Z41+AF41+AL41+AR41+AX41+BD41</f>
        <v>22</v>
      </c>
      <c r="BK41" s="19">
        <f>I41+O41+U41+AA41+AG41+AM41+AS41+AY41+BE41</f>
        <v>27.5</v>
      </c>
      <c r="BL41" s="19">
        <f t="shared" ref="BL41:BN48" si="35">J41+P41+V41+AB41+AH41+AN41+AT41+AZ41+BF41</f>
        <v>3</v>
      </c>
      <c r="BM41" s="19">
        <f t="shared" si="35"/>
        <v>6</v>
      </c>
      <c r="BN41" s="19">
        <f t="shared" si="35"/>
        <v>4.5</v>
      </c>
      <c r="BP41" s="12">
        <f t="shared" ref="BP41:BP48" si="36">BJ41/F41</f>
        <v>5.5</v>
      </c>
      <c r="BQ41" s="12">
        <f t="shared" ref="BQ41:BQ48" si="37">BK41/F41</f>
        <v>6.875</v>
      </c>
      <c r="BR41" s="12">
        <f t="shared" ref="BR41:BR48" si="38">BL41/F41</f>
        <v>0.75</v>
      </c>
      <c r="BS41" s="12">
        <f t="shared" ref="BS41:BS48" si="39">BM41/F41</f>
        <v>1.5</v>
      </c>
      <c r="BT41" s="12">
        <f t="shared" ref="BT41:BT48" si="40">BN41/F41</f>
        <v>1.125</v>
      </c>
    </row>
    <row r="42" spans="1:72" ht="26.45" customHeight="1" x14ac:dyDescent="0.25">
      <c r="A42" s="30"/>
      <c r="B42" s="10">
        <v>27</v>
      </c>
      <c r="C42" s="26" t="s">
        <v>44</v>
      </c>
      <c r="D42" s="27"/>
      <c r="E42" s="10" t="s">
        <v>21</v>
      </c>
      <c r="F42" s="10">
        <v>8</v>
      </c>
      <c r="G42" s="11"/>
      <c r="H42" s="12">
        <v>2</v>
      </c>
      <c r="I42" s="12">
        <v>1</v>
      </c>
      <c r="J42" s="12">
        <v>2</v>
      </c>
      <c r="K42" s="12">
        <v>3</v>
      </c>
      <c r="L42" s="12">
        <v>0</v>
      </c>
      <c r="N42" s="12">
        <v>11</v>
      </c>
      <c r="O42" s="12">
        <v>5</v>
      </c>
      <c r="P42" s="12">
        <v>0</v>
      </c>
      <c r="Q42" s="12">
        <v>3</v>
      </c>
      <c r="R42" s="12">
        <v>0</v>
      </c>
      <c r="T42" s="12">
        <v>4</v>
      </c>
      <c r="U42" s="19">
        <f t="shared" ref="U42:U44" si="41">(I42+O42)/2</f>
        <v>3</v>
      </c>
      <c r="V42" s="19">
        <f t="shared" si="34"/>
        <v>1</v>
      </c>
      <c r="W42" s="19">
        <f t="shared" si="34"/>
        <v>3</v>
      </c>
      <c r="X42" s="19">
        <f t="shared" si="34"/>
        <v>0</v>
      </c>
      <c r="Z42" s="12">
        <v>4</v>
      </c>
      <c r="AA42" s="12">
        <v>7</v>
      </c>
      <c r="AB42" s="12">
        <v>1</v>
      </c>
      <c r="AC42" s="12">
        <v>4</v>
      </c>
      <c r="AD42" s="12"/>
      <c r="AF42" s="12">
        <v>5</v>
      </c>
      <c r="AG42" s="12">
        <v>7</v>
      </c>
      <c r="AH42" s="12"/>
      <c r="AI42" s="12">
        <v>3</v>
      </c>
      <c r="AJ42" s="12"/>
      <c r="AL42" s="12">
        <v>2</v>
      </c>
      <c r="AM42" s="12">
        <v>2</v>
      </c>
      <c r="AN42" s="12"/>
      <c r="AO42" s="12">
        <v>2</v>
      </c>
      <c r="AP42" s="12"/>
      <c r="AR42" s="12">
        <v>2</v>
      </c>
      <c r="AS42" s="12">
        <v>2</v>
      </c>
      <c r="AT42" s="12"/>
      <c r="AU42" s="12">
        <v>3</v>
      </c>
      <c r="AV42" s="12"/>
      <c r="AX42" s="12">
        <v>8</v>
      </c>
      <c r="AY42" s="12">
        <v>13</v>
      </c>
      <c r="AZ42" s="12"/>
      <c r="BA42" s="12">
        <v>3</v>
      </c>
      <c r="BB42" s="12"/>
      <c r="BD42" s="12"/>
      <c r="BE42" s="12"/>
      <c r="BF42" s="12"/>
      <c r="BG42" s="12"/>
      <c r="BH42" s="12"/>
      <c r="BJ42" s="12">
        <f t="shared" ref="BJ42:BK48" si="42">H42+N42+T42+Z42+AF42+AL42+AR42+AX42+BD42</f>
        <v>38</v>
      </c>
      <c r="BK42" s="19">
        <f t="shared" si="42"/>
        <v>40</v>
      </c>
      <c r="BL42" s="19">
        <f t="shared" si="35"/>
        <v>4</v>
      </c>
      <c r="BM42" s="19">
        <f t="shared" si="35"/>
        <v>24</v>
      </c>
      <c r="BN42" s="19">
        <f t="shared" si="35"/>
        <v>0</v>
      </c>
      <c r="BP42" s="12">
        <f t="shared" si="36"/>
        <v>4.75</v>
      </c>
      <c r="BQ42" s="12">
        <f t="shared" si="37"/>
        <v>5</v>
      </c>
      <c r="BR42" s="12">
        <f t="shared" si="38"/>
        <v>0.5</v>
      </c>
      <c r="BS42" s="12">
        <f t="shared" si="39"/>
        <v>3</v>
      </c>
      <c r="BT42" s="12">
        <f t="shared" si="40"/>
        <v>0</v>
      </c>
    </row>
    <row r="43" spans="1:72" ht="26.45" customHeight="1" x14ac:dyDescent="0.25">
      <c r="A43" s="30"/>
      <c r="B43" s="10">
        <v>5</v>
      </c>
      <c r="C43" s="26" t="s">
        <v>45</v>
      </c>
      <c r="D43" s="27"/>
      <c r="E43" s="10" t="s">
        <v>25</v>
      </c>
      <c r="F43" s="10">
        <v>8</v>
      </c>
      <c r="G43" s="11"/>
      <c r="H43" s="12">
        <v>8</v>
      </c>
      <c r="I43" s="12">
        <v>1</v>
      </c>
      <c r="J43" s="12">
        <v>1</v>
      </c>
      <c r="K43" s="12">
        <v>1</v>
      </c>
      <c r="L43" s="12">
        <v>0</v>
      </c>
      <c r="N43" s="12">
        <v>10</v>
      </c>
      <c r="O43" s="12">
        <v>3</v>
      </c>
      <c r="P43" s="12">
        <v>1</v>
      </c>
      <c r="Q43" s="12">
        <v>0</v>
      </c>
      <c r="R43" s="12">
        <v>0</v>
      </c>
      <c r="T43" s="12">
        <v>12</v>
      </c>
      <c r="U43" s="19">
        <f t="shared" si="41"/>
        <v>2</v>
      </c>
      <c r="V43" s="19">
        <f t="shared" si="34"/>
        <v>1</v>
      </c>
      <c r="W43" s="19">
        <f t="shared" si="34"/>
        <v>0.5</v>
      </c>
      <c r="X43" s="19">
        <f t="shared" si="34"/>
        <v>0</v>
      </c>
      <c r="Z43" s="12">
        <v>8</v>
      </c>
      <c r="AA43" s="12">
        <v>1</v>
      </c>
      <c r="AB43" s="12"/>
      <c r="AC43" s="12"/>
      <c r="AD43" s="12"/>
      <c r="AF43" s="12">
        <v>17</v>
      </c>
      <c r="AG43" s="12">
        <v>3</v>
      </c>
      <c r="AH43" s="12"/>
      <c r="AI43" s="12"/>
      <c r="AJ43" s="12"/>
      <c r="AL43" s="12">
        <v>18</v>
      </c>
      <c r="AM43" s="12"/>
      <c r="AN43" s="12"/>
      <c r="AO43" s="12">
        <v>2</v>
      </c>
      <c r="AP43" s="12"/>
      <c r="AR43" s="12">
        <v>4</v>
      </c>
      <c r="AS43" s="12">
        <v>3</v>
      </c>
      <c r="AT43" s="12"/>
      <c r="AU43" s="12">
        <v>4</v>
      </c>
      <c r="AV43" s="12"/>
      <c r="AX43" s="12">
        <v>11</v>
      </c>
      <c r="AY43" s="12">
        <v>2</v>
      </c>
      <c r="AZ43" s="12"/>
      <c r="BA43" s="12"/>
      <c r="BB43" s="12"/>
      <c r="BD43" s="12"/>
      <c r="BE43" s="12"/>
      <c r="BF43" s="12"/>
      <c r="BG43" s="12"/>
      <c r="BH43" s="12"/>
      <c r="BJ43" s="12">
        <f t="shared" si="42"/>
        <v>88</v>
      </c>
      <c r="BK43" s="19">
        <f t="shared" si="42"/>
        <v>15</v>
      </c>
      <c r="BL43" s="19">
        <f t="shared" si="35"/>
        <v>3</v>
      </c>
      <c r="BM43" s="19">
        <f t="shared" si="35"/>
        <v>7.5</v>
      </c>
      <c r="BN43" s="19">
        <f t="shared" si="35"/>
        <v>0</v>
      </c>
      <c r="BP43" s="12">
        <f t="shared" si="36"/>
        <v>11</v>
      </c>
      <c r="BQ43" s="12">
        <f t="shared" si="37"/>
        <v>1.875</v>
      </c>
      <c r="BR43" s="12">
        <f t="shared" si="38"/>
        <v>0.375</v>
      </c>
      <c r="BS43" s="12">
        <f t="shared" si="39"/>
        <v>0.9375</v>
      </c>
      <c r="BT43" s="12">
        <f t="shared" si="40"/>
        <v>0</v>
      </c>
    </row>
    <row r="44" spans="1:72" ht="26.45" customHeight="1" x14ac:dyDescent="0.25">
      <c r="A44" s="30"/>
      <c r="B44" s="10">
        <v>24</v>
      </c>
      <c r="C44" s="26" t="s">
        <v>46</v>
      </c>
      <c r="D44" s="27"/>
      <c r="E44" s="10" t="s">
        <v>21</v>
      </c>
      <c r="F44" s="10">
        <v>5</v>
      </c>
      <c r="G44" s="11"/>
      <c r="H44" s="12">
        <v>0</v>
      </c>
      <c r="I44" s="12">
        <v>1</v>
      </c>
      <c r="J44" s="12">
        <v>0</v>
      </c>
      <c r="K44" s="12">
        <v>2</v>
      </c>
      <c r="L44" s="12">
        <v>0</v>
      </c>
      <c r="N44" s="12">
        <v>0</v>
      </c>
      <c r="O44" s="12">
        <v>0</v>
      </c>
      <c r="P44" s="12">
        <v>0</v>
      </c>
      <c r="Q44" s="12">
        <v>1</v>
      </c>
      <c r="R44" s="12">
        <v>0</v>
      </c>
      <c r="T44" s="12">
        <v>0</v>
      </c>
      <c r="U44" s="19">
        <f t="shared" si="41"/>
        <v>0.5</v>
      </c>
      <c r="V44" s="19">
        <f t="shared" si="34"/>
        <v>0</v>
      </c>
      <c r="W44" s="19">
        <f t="shared" si="34"/>
        <v>1.5</v>
      </c>
      <c r="X44" s="19">
        <f t="shared" si="34"/>
        <v>0</v>
      </c>
      <c r="Z44" s="12"/>
      <c r="AA44" s="12">
        <v>4</v>
      </c>
      <c r="AB44" s="12">
        <v>1</v>
      </c>
      <c r="AC44" s="12"/>
      <c r="AD44" s="12"/>
      <c r="AF44" s="12"/>
      <c r="AG44" s="12"/>
      <c r="AH44" s="12"/>
      <c r="AI44" s="12"/>
      <c r="AJ44" s="12"/>
      <c r="AL44" s="12">
        <v>4</v>
      </c>
      <c r="AM44" s="12">
        <v>2</v>
      </c>
      <c r="AN44" s="12"/>
      <c r="AO44" s="12"/>
      <c r="AP44" s="12"/>
      <c r="AR44" s="12">
        <v>6</v>
      </c>
      <c r="AS44" s="12"/>
      <c r="AT44" s="12"/>
      <c r="AU44" s="12">
        <v>3</v>
      </c>
      <c r="AV44" s="12"/>
      <c r="AX44" s="14"/>
      <c r="AY44" s="14"/>
      <c r="AZ44" s="14"/>
      <c r="BA44" s="14"/>
      <c r="BB44" s="14"/>
      <c r="BD44" s="12"/>
      <c r="BE44" s="12"/>
      <c r="BF44" s="12"/>
      <c r="BG44" s="12"/>
      <c r="BH44" s="12"/>
      <c r="BJ44" s="12">
        <f t="shared" si="42"/>
        <v>10</v>
      </c>
      <c r="BK44" s="19">
        <f t="shared" si="42"/>
        <v>7.5</v>
      </c>
      <c r="BL44" s="19">
        <f t="shared" si="35"/>
        <v>1</v>
      </c>
      <c r="BM44" s="19">
        <f t="shared" si="35"/>
        <v>7.5</v>
      </c>
      <c r="BN44" s="19">
        <f t="shared" si="35"/>
        <v>0</v>
      </c>
      <c r="BP44" s="12">
        <f t="shared" si="36"/>
        <v>2</v>
      </c>
      <c r="BQ44" s="12">
        <f t="shared" si="37"/>
        <v>1.5</v>
      </c>
      <c r="BR44" s="12">
        <f t="shared" si="38"/>
        <v>0.2</v>
      </c>
      <c r="BS44" s="12">
        <f t="shared" si="39"/>
        <v>1.5</v>
      </c>
      <c r="BT44" s="12">
        <f t="shared" si="40"/>
        <v>0</v>
      </c>
    </row>
    <row r="45" spans="1:72" ht="26.45" customHeight="1" x14ac:dyDescent="0.25">
      <c r="A45" s="30"/>
      <c r="B45" s="10">
        <v>7</v>
      </c>
      <c r="C45" s="26" t="s">
        <v>47</v>
      </c>
      <c r="D45" s="27"/>
      <c r="E45" s="10" t="s">
        <v>17</v>
      </c>
      <c r="F45" s="10">
        <v>7</v>
      </c>
      <c r="G45" s="11"/>
      <c r="H45" s="12">
        <v>9</v>
      </c>
      <c r="I45" s="12">
        <v>1</v>
      </c>
      <c r="J45" s="12">
        <v>0</v>
      </c>
      <c r="K45" s="12">
        <v>2</v>
      </c>
      <c r="L45" s="12">
        <v>0</v>
      </c>
      <c r="N45" s="12">
        <v>8</v>
      </c>
      <c r="O45" s="12">
        <v>2</v>
      </c>
      <c r="P45" s="12">
        <v>4</v>
      </c>
      <c r="Q45" s="12">
        <v>1</v>
      </c>
      <c r="R45" s="12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Z45" s="12">
        <v>9</v>
      </c>
      <c r="AA45" s="12">
        <v>7</v>
      </c>
      <c r="AB45" s="12"/>
      <c r="AC45" s="12"/>
      <c r="AD45" s="12"/>
      <c r="AF45" s="12">
        <v>4</v>
      </c>
      <c r="AG45" s="12">
        <v>5</v>
      </c>
      <c r="AH45" s="12">
        <v>3</v>
      </c>
      <c r="AI45" s="12">
        <v>2</v>
      </c>
      <c r="AJ45" s="12"/>
      <c r="AL45" s="12">
        <v>7</v>
      </c>
      <c r="AM45" s="12">
        <v>4</v>
      </c>
      <c r="AN45" s="12">
        <v>3</v>
      </c>
      <c r="AO45" s="12">
        <v>2</v>
      </c>
      <c r="AP45" s="12"/>
      <c r="AR45" s="12">
        <v>12</v>
      </c>
      <c r="AS45" s="12">
        <v>2</v>
      </c>
      <c r="AT45" s="12">
        <v>1</v>
      </c>
      <c r="AU45" s="12">
        <v>1</v>
      </c>
      <c r="AV45" s="12"/>
      <c r="AX45" s="12">
        <v>6</v>
      </c>
      <c r="AY45" s="12">
        <v>4</v>
      </c>
      <c r="AZ45" s="12"/>
      <c r="BA45" s="12"/>
      <c r="BB45" s="12"/>
      <c r="BD45" s="12"/>
      <c r="BE45" s="12"/>
      <c r="BF45" s="12"/>
      <c r="BG45" s="12"/>
      <c r="BH45" s="12"/>
      <c r="BJ45" s="12">
        <f t="shared" si="42"/>
        <v>55</v>
      </c>
      <c r="BK45" s="19">
        <f t="shared" si="42"/>
        <v>25</v>
      </c>
      <c r="BL45" s="19">
        <f t="shared" si="35"/>
        <v>11</v>
      </c>
      <c r="BM45" s="19">
        <f t="shared" si="35"/>
        <v>8</v>
      </c>
      <c r="BN45" s="19">
        <f t="shared" si="35"/>
        <v>0</v>
      </c>
      <c r="BP45" s="12">
        <f t="shared" si="36"/>
        <v>7.8571428571428568</v>
      </c>
      <c r="BQ45" s="12">
        <f t="shared" si="37"/>
        <v>3.5714285714285716</v>
      </c>
      <c r="BR45" s="12">
        <f t="shared" si="38"/>
        <v>1.5714285714285714</v>
      </c>
      <c r="BS45" s="12">
        <f t="shared" si="39"/>
        <v>1.1428571428571428</v>
      </c>
      <c r="BT45" s="12">
        <f t="shared" si="40"/>
        <v>0</v>
      </c>
    </row>
    <row r="46" spans="1:72" ht="26.45" customHeight="1" x14ac:dyDescent="0.25">
      <c r="A46" s="30"/>
      <c r="B46" s="10">
        <v>3</v>
      </c>
      <c r="C46" s="26" t="s">
        <v>48</v>
      </c>
      <c r="D46" s="27"/>
      <c r="E46" s="10" t="s">
        <v>23</v>
      </c>
      <c r="F46" s="10">
        <v>3</v>
      </c>
      <c r="G46" s="11"/>
      <c r="H46" s="12">
        <v>4</v>
      </c>
      <c r="I46" s="12">
        <v>4</v>
      </c>
      <c r="J46" s="12">
        <v>0</v>
      </c>
      <c r="K46" s="12">
        <v>1</v>
      </c>
      <c r="L46" s="12">
        <v>0</v>
      </c>
      <c r="N46" s="12">
        <v>0</v>
      </c>
      <c r="O46" s="12">
        <v>4</v>
      </c>
      <c r="P46" s="12">
        <v>0</v>
      </c>
      <c r="Q46" s="12">
        <v>0</v>
      </c>
      <c r="R46" s="12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L46" s="14"/>
      <c r="AM46" s="14"/>
      <c r="AN46" s="14"/>
      <c r="AO46" s="14"/>
      <c r="AP46" s="14"/>
      <c r="AR46" s="14"/>
      <c r="AS46" s="14"/>
      <c r="AT46" s="14"/>
      <c r="AU46" s="14"/>
      <c r="AV46" s="14"/>
      <c r="AX46" s="12">
        <v>4</v>
      </c>
      <c r="AY46" s="12">
        <v>3</v>
      </c>
      <c r="AZ46" s="12"/>
      <c r="BA46" s="12"/>
      <c r="BB46" s="12"/>
      <c r="BD46" s="12"/>
      <c r="BE46" s="12"/>
      <c r="BF46" s="12"/>
      <c r="BG46" s="12"/>
      <c r="BH46" s="12"/>
      <c r="BJ46" s="12">
        <f t="shared" si="42"/>
        <v>8</v>
      </c>
      <c r="BK46" s="19">
        <f t="shared" si="42"/>
        <v>11</v>
      </c>
      <c r="BL46" s="19">
        <f t="shared" si="35"/>
        <v>0</v>
      </c>
      <c r="BM46" s="19">
        <f t="shared" si="35"/>
        <v>1</v>
      </c>
      <c r="BN46" s="19">
        <f t="shared" si="35"/>
        <v>0</v>
      </c>
      <c r="BP46" s="12">
        <f t="shared" si="36"/>
        <v>2.6666666666666665</v>
      </c>
      <c r="BQ46" s="12">
        <f t="shared" si="37"/>
        <v>3.6666666666666665</v>
      </c>
      <c r="BR46" s="12">
        <f t="shared" si="38"/>
        <v>0</v>
      </c>
      <c r="BS46" s="12">
        <f t="shared" si="39"/>
        <v>0.33333333333333331</v>
      </c>
      <c r="BT46" s="12">
        <f t="shared" si="40"/>
        <v>0</v>
      </c>
    </row>
    <row r="47" spans="1:72" ht="26.45" customHeight="1" x14ac:dyDescent="0.25">
      <c r="A47" s="30"/>
      <c r="B47" s="10">
        <v>18</v>
      </c>
      <c r="C47" s="26" t="s">
        <v>49</v>
      </c>
      <c r="D47" s="27"/>
      <c r="E47" s="10" t="s">
        <v>23</v>
      </c>
      <c r="F47" s="10">
        <v>4</v>
      </c>
      <c r="G47" s="11"/>
      <c r="H47" s="12">
        <v>8</v>
      </c>
      <c r="I47" s="12">
        <v>4</v>
      </c>
      <c r="J47" s="12">
        <v>0</v>
      </c>
      <c r="K47" s="12">
        <v>2</v>
      </c>
      <c r="L47" s="12">
        <v>0</v>
      </c>
      <c r="N47" s="12">
        <v>4</v>
      </c>
      <c r="O47" s="12">
        <v>4</v>
      </c>
      <c r="P47" s="12">
        <v>1</v>
      </c>
      <c r="Q47" s="12">
        <v>1</v>
      </c>
      <c r="R47" s="12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Z47" s="12">
        <v>2</v>
      </c>
      <c r="AA47" s="12">
        <v>2</v>
      </c>
      <c r="AB47" s="12"/>
      <c r="AC47" s="12"/>
      <c r="AD47" s="12"/>
      <c r="AF47" s="12">
        <v>3</v>
      </c>
      <c r="AG47" s="12">
        <v>4</v>
      </c>
      <c r="AH47" s="12"/>
      <c r="AI47" s="12">
        <v>2</v>
      </c>
      <c r="AJ47" s="12"/>
      <c r="AL47" s="12"/>
      <c r="AM47" s="12">
        <v>2</v>
      </c>
      <c r="AN47" s="12">
        <v>2</v>
      </c>
      <c r="AO47" s="12">
        <v>2</v>
      </c>
      <c r="AP47" s="12"/>
      <c r="AR47" s="12">
        <v>6</v>
      </c>
      <c r="AS47" s="12">
        <v>8</v>
      </c>
      <c r="AT47" s="12"/>
      <c r="AU47" s="12">
        <v>2</v>
      </c>
      <c r="AV47" s="12"/>
      <c r="AX47" s="14"/>
      <c r="AY47" s="14"/>
      <c r="AZ47" s="14"/>
      <c r="BA47" s="14"/>
      <c r="BB47" s="14"/>
      <c r="BD47" s="12"/>
      <c r="BE47" s="12"/>
      <c r="BF47" s="12"/>
      <c r="BG47" s="12"/>
      <c r="BH47" s="12"/>
      <c r="BJ47" s="12">
        <f t="shared" si="42"/>
        <v>23</v>
      </c>
      <c r="BK47" s="19">
        <f t="shared" si="42"/>
        <v>24</v>
      </c>
      <c r="BL47" s="19">
        <f t="shared" si="35"/>
        <v>3</v>
      </c>
      <c r="BM47" s="19">
        <f t="shared" si="35"/>
        <v>9</v>
      </c>
      <c r="BN47" s="19">
        <f t="shared" si="35"/>
        <v>0</v>
      </c>
      <c r="BP47" s="12">
        <f t="shared" si="36"/>
        <v>5.75</v>
      </c>
      <c r="BQ47" s="12">
        <f t="shared" si="37"/>
        <v>6</v>
      </c>
      <c r="BR47" s="12">
        <f t="shared" si="38"/>
        <v>0.75</v>
      </c>
      <c r="BS47" s="12">
        <f t="shared" si="39"/>
        <v>2.25</v>
      </c>
      <c r="BT47" s="12">
        <f t="shared" si="40"/>
        <v>0</v>
      </c>
    </row>
    <row r="48" spans="1:72" ht="26.45" customHeight="1" x14ac:dyDescent="0.25">
      <c r="A48" s="31"/>
      <c r="B48" s="10">
        <v>21</v>
      </c>
      <c r="C48" s="26" t="s">
        <v>50</v>
      </c>
      <c r="D48" s="27"/>
      <c r="E48" s="10" t="s">
        <v>23</v>
      </c>
      <c r="F48" s="10">
        <v>4</v>
      </c>
      <c r="G48" s="11"/>
      <c r="H48" s="15">
        <v>0</v>
      </c>
      <c r="I48" s="15">
        <v>0</v>
      </c>
      <c r="J48" s="15">
        <v>0</v>
      </c>
      <c r="K48" s="15">
        <v>0</v>
      </c>
      <c r="L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T48" s="12">
        <v>2</v>
      </c>
      <c r="U48" s="19">
        <v>3</v>
      </c>
      <c r="V48" s="19">
        <v>1</v>
      </c>
      <c r="W48" s="19">
        <v>2</v>
      </c>
      <c r="X48" s="19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L48" s="12">
        <v>6</v>
      </c>
      <c r="AM48" s="12">
        <v>1</v>
      </c>
      <c r="AN48" s="12"/>
      <c r="AO48" s="12"/>
      <c r="AP48" s="12"/>
      <c r="AR48" s="12">
        <v>6</v>
      </c>
      <c r="AS48" s="12">
        <v>3</v>
      </c>
      <c r="AT48" s="12">
        <v>1</v>
      </c>
      <c r="AU48" s="12"/>
      <c r="AV48" s="12"/>
      <c r="AX48" s="12">
        <v>7</v>
      </c>
      <c r="AY48" s="12">
        <v>2</v>
      </c>
      <c r="AZ48" s="12">
        <v>1</v>
      </c>
      <c r="BA48" s="12">
        <v>2</v>
      </c>
      <c r="BB48" s="12"/>
      <c r="BD48" s="12"/>
      <c r="BE48" s="12"/>
      <c r="BF48" s="12"/>
      <c r="BG48" s="12"/>
      <c r="BH48" s="12"/>
      <c r="BJ48" s="12">
        <f t="shared" si="42"/>
        <v>21</v>
      </c>
      <c r="BK48" s="19">
        <f t="shared" si="42"/>
        <v>9</v>
      </c>
      <c r="BL48" s="19">
        <f t="shared" si="35"/>
        <v>3</v>
      </c>
      <c r="BM48" s="19">
        <f t="shared" si="35"/>
        <v>4</v>
      </c>
      <c r="BN48" s="19">
        <f t="shared" si="35"/>
        <v>0</v>
      </c>
      <c r="BP48" s="12">
        <f t="shared" si="36"/>
        <v>5.25</v>
      </c>
      <c r="BQ48" s="12">
        <f t="shared" si="37"/>
        <v>2.25</v>
      </c>
      <c r="BR48" s="12">
        <f t="shared" si="38"/>
        <v>0.75</v>
      </c>
      <c r="BS48" s="12">
        <f t="shared" si="39"/>
        <v>1</v>
      </c>
      <c r="BT48" s="12">
        <f t="shared" si="40"/>
        <v>0</v>
      </c>
    </row>
    <row r="49" spans="8:60" x14ac:dyDescent="0.25">
      <c r="H49" s="2">
        <f>SUM(H41:H48)</f>
        <v>39</v>
      </c>
      <c r="I49" s="2">
        <f t="shared" ref="I49:X49" si="43">SUM(I41:I48)</f>
        <v>18</v>
      </c>
      <c r="J49" s="2">
        <f t="shared" si="43"/>
        <v>4</v>
      </c>
      <c r="K49" s="2">
        <f t="shared" si="43"/>
        <v>13</v>
      </c>
      <c r="L49" s="2">
        <f t="shared" si="43"/>
        <v>1</v>
      </c>
      <c r="M49" s="2"/>
      <c r="N49" s="2">
        <f t="shared" si="43"/>
        <v>33</v>
      </c>
      <c r="O49" s="2">
        <f t="shared" si="43"/>
        <v>23</v>
      </c>
      <c r="P49" s="2">
        <f t="shared" si="43"/>
        <v>7</v>
      </c>
      <c r="Q49" s="2">
        <f t="shared" si="43"/>
        <v>6</v>
      </c>
      <c r="R49" s="2">
        <f t="shared" si="43"/>
        <v>0</v>
      </c>
      <c r="S49" s="2"/>
      <c r="T49" s="2">
        <f t="shared" si="43"/>
        <v>22</v>
      </c>
      <c r="U49" s="2">
        <f t="shared" si="43"/>
        <v>14</v>
      </c>
      <c r="V49" s="2">
        <f t="shared" si="43"/>
        <v>4</v>
      </c>
      <c r="W49" s="2">
        <f t="shared" si="43"/>
        <v>8</v>
      </c>
      <c r="X49" s="2">
        <f t="shared" si="43"/>
        <v>0.5</v>
      </c>
      <c r="Z49" s="2">
        <f>SUM(Z41:Z48)</f>
        <v>23</v>
      </c>
      <c r="AA49" s="2">
        <f t="shared" ref="AA49:AD49" si="44">SUM(AA41:AA48)</f>
        <v>21</v>
      </c>
      <c r="AB49" s="2">
        <f t="shared" si="44"/>
        <v>2</v>
      </c>
      <c r="AC49" s="2">
        <f t="shared" si="44"/>
        <v>4</v>
      </c>
      <c r="AD49" s="2">
        <f t="shared" si="44"/>
        <v>0</v>
      </c>
      <c r="AE49" s="2"/>
      <c r="AF49" s="2">
        <f t="shared" ref="AF49:BH49" si="45">SUM(AF41:AF48)</f>
        <v>29</v>
      </c>
      <c r="AG49" s="2">
        <f t="shared" si="45"/>
        <v>19</v>
      </c>
      <c r="AH49" s="2">
        <f t="shared" si="45"/>
        <v>3</v>
      </c>
      <c r="AI49" s="2">
        <f t="shared" si="45"/>
        <v>7</v>
      </c>
      <c r="AJ49" s="2">
        <f t="shared" si="45"/>
        <v>0</v>
      </c>
      <c r="AK49" s="2"/>
      <c r="AL49" s="2">
        <f t="shared" si="45"/>
        <v>39</v>
      </c>
      <c r="AM49" s="2">
        <f t="shared" si="45"/>
        <v>13</v>
      </c>
      <c r="AN49" s="2">
        <f t="shared" si="45"/>
        <v>5</v>
      </c>
      <c r="AO49" s="2">
        <f t="shared" si="45"/>
        <v>9</v>
      </c>
      <c r="AP49" s="2">
        <f t="shared" si="45"/>
        <v>2</v>
      </c>
      <c r="AQ49" s="2"/>
      <c r="AR49" s="2">
        <f t="shared" si="45"/>
        <v>42</v>
      </c>
      <c r="AS49" s="2">
        <f t="shared" si="45"/>
        <v>23</v>
      </c>
      <c r="AT49" s="2">
        <f t="shared" si="45"/>
        <v>2</v>
      </c>
      <c r="AU49" s="2">
        <f t="shared" si="45"/>
        <v>14</v>
      </c>
      <c r="AV49" s="2">
        <f t="shared" si="45"/>
        <v>1</v>
      </c>
      <c r="AW49" s="2"/>
      <c r="AX49" s="2">
        <f t="shared" si="45"/>
        <v>38</v>
      </c>
      <c r="AY49" s="2">
        <f t="shared" si="45"/>
        <v>28</v>
      </c>
      <c r="AZ49" s="2">
        <f t="shared" si="45"/>
        <v>1</v>
      </c>
      <c r="BA49" s="2">
        <f t="shared" si="45"/>
        <v>6</v>
      </c>
      <c r="BB49" s="2">
        <f t="shared" si="45"/>
        <v>0</v>
      </c>
      <c r="BC49" s="2"/>
      <c r="BD49" s="2">
        <f t="shared" si="45"/>
        <v>0</v>
      </c>
      <c r="BE49" s="2">
        <f t="shared" si="45"/>
        <v>0</v>
      </c>
      <c r="BF49" s="2">
        <f t="shared" si="45"/>
        <v>0</v>
      </c>
      <c r="BG49" s="2">
        <f t="shared" si="45"/>
        <v>0</v>
      </c>
      <c r="BH49" s="2">
        <f t="shared" si="45"/>
        <v>0</v>
      </c>
    </row>
  </sheetData>
  <mergeCells count="83">
    <mergeCell ref="C44:D44"/>
    <mergeCell ref="C45:D45"/>
    <mergeCell ref="BG39:BH39"/>
    <mergeCell ref="BJ39:BN39"/>
    <mergeCell ref="BP39:BT39"/>
    <mergeCell ref="A40:A48"/>
    <mergeCell ref="C40:D40"/>
    <mergeCell ref="C41:D41"/>
    <mergeCell ref="C42:D42"/>
    <mergeCell ref="Q39:R39"/>
    <mergeCell ref="W39:X39"/>
    <mergeCell ref="AC39:AD39"/>
    <mergeCell ref="AI39:AJ39"/>
    <mergeCell ref="AO39:AP39"/>
    <mergeCell ref="AU39:AV39"/>
    <mergeCell ref="C46:D46"/>
    <mergeCell ref="C47:D47"/>
    <mergeCell ref="C48:D48"/>
    <mergeCell ref="K39:L39"/>
    <mergeCell ref="C43:D43"/>
    <mergeCell ref="C31:D31"/>
    <mergeCell ref="C32:D32"/>
    <mergeCell ref="C33:D33"/>
    <mergeCell ref="BA39:BB39"/>
    <mergeCell ref="A27:A36"/>
    <mergeCell ref="C27:D27"/>
    <mergeCell ref="C28:D28"/>
    <mergeCell ref="C29:D29"/>
    <mergeCell ref="C30:D30"/>
    <mergeCell ref="C34:D34"/>
    <mergeCell ref="C35:D35"/>
    <mergeCell ref="C36:D36"/>
    <mergeCell ref="K26:L26"/>
    <mergeCell ref="Q26:R26"/>
    <mergeCell ref="W26:X26"/>
    <mergeCell ref="AC26:AD26"/>
    <mergeCell ref="BP26:BT26"/>
    <mergeCell ref="AI26:AJ26"/>
    <mergeCell ref="AO26:AP26"/>
    <mergeCell ref="AU26:AV26"/>
    <mergeCell ref="BA26:BB26"/>
    <mergeCell ref="BG26:BH26"/>
    <mergeCell ref="BJ26:BN26"/>
    <mergeCell ref="BG14:BH14"/>
    <mergeCell ref="BJ14:BN14"/>
    <mergeCell ref="BP14:BT14"/>
    <mergeCell ref="C20:D20"/>
    <mergeCell ref="C21:D21"/>
    <mergeCell ref="C17:D17"/>
    <mergeCell ref="C18:D18"/>
    <mergeCell ref="C19:D19"/>
    <mergeCell ref="A15:A23"/>
    <mergeCell ref="C15:D15"/>
    <mergeCell ref="C16:D16"/>
    <mergeCell ref="C11:D11"/>
    <mergeCell ref="K14:L14"/>
    <mergeCell ref="C22:D22"/>
    <mergeCell ref="C23:D23"/>
    <mergeCell ref="BA2:BB2"/>
    <mergeCell ref="Q14:R14"/>
    <mergeCell ref="W14:X14"/>
    <mergeCell ref="AC14:AD14"/>
    <mergeCell ref="C8:D8"/>
    <mergeCell ref="C9:D9"/>
    <mergeCell ref="C10:D10"/>
    <mergeCell ref="AO14:AP14"/>
    <mergeCell ref="AU14:AV14"/>
    <mergeCell ref="BG2:BH2"/>
    <mergeCell ref="BJ2:BN2"/>
    <mergeCell ref="BP2:BT2"/>
    <mergeCell ref="A3:A11"/>
    <mergeCell ref="C3:D3"/>
    <mergeCell ref="C4:D4"/>
    <mergeCell ref="K2:L2"/>
    <mergeCell ref="Q2:R2"/>
    <mergeCell ref="W2:X2"/>
    <mergeCell ref="AC2:AD2"/>
    <mergeCell ref="AI2:AJ2"/>
    <mergeCell ref="AO2:AP2"/>
    <mergeCell ref="C5:D5"/>
    <mergeCell ref="C6:D6"/>
    <mergeCell ref="C7:D7"/>
    <mergeCell ref="AU2:AV2"/>
  </mergeCells>
  <printOptions horizontalCentered="1" verticalCentered="1"/>
  <pageMargins left="0.31496062992125984" right="0.31496062992125984" top="0.15748031496062992" bottom="0.35433070866141736" header="0.11811023622047245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Scoring</vt:lpstr>
      <vt:lpstr>Scoring!Print_Area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Galanida</dc:creator>
  <cp:lastModifiedBy>Ed Galanida</cp:lastModifiedBy>
  <dcterms:created xsi:type="dcterms:W3CDTF">2026-03-28T04:09:31Z</dcterms:created>
  <dcterms:modified xsi:type="dcterms:W3CDTF">2026-03-29T05:16:47Z</dcterms:modified>
</cp:coreProperties>
</file>